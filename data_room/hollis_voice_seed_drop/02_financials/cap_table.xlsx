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p_Table" sheetId="1" r:id="rId1"/>
  </sheets>
  <definedNames>
    <definedName name="CAP_TOTAL_PCT">Cap_Table!$D$12</definedName>
  </definedNames>
  <calcPr calcId="124519" fullCalcOnLoad="1"/>
</workbook>
</file>

<file path=xl/sharedStrings.xml><?xml version="1.0" encoding="utf-8"?>
<sst xmlns="http://schemas.openxmlformats.org/spreadsheetml/2006/main" count="41" uniqueCount="38">
  <si>
    <t>Hollis Voice, Inc.: fully diluted cap table</t>
  </si>
  <si>
    <t>As of 2026-09-30. SAFEs shown as converted at their cap. Pro forma shows the Series A.</t>
  </si>
  <si>
    <t>Holder</t>
  </si>
  <si>
    <t>Class</t>
  </si>
  <si>
    <t>Shares</t>
  </si>
  <si>
    <t>% fully diluted</t>
  </si>
  <si>
    <t>Pro forma shares</t>
  </si>
  <si>
    <t>Pro forma %</t>
  </si>
  <si>
    <t>Imogen Tarrant (CEO)</t>
  </si>
  <si>
    <t>Common</t>
  </si>
  <si>
    <t>Teodoro Brandt (CTO)</t>
  </si>
  <si>
    <t>Options granted (11 holders)</t>
  </si>
  <si>
    <t>Option pool, granted</t>
  </si>
  <si>
    <t>Options available</t>
  </si>
  <si>
    <t>Option pool, unissued</t>
  </si>
  <si>
    <t>Tidewater Seed Fund I, LP (SAFE converted)</t>
  </si>
  <si>
    <t>Preferred (from SAFE)</t>
  </si>
  <si>
    <t>Anselm Hartley (angel) (SAFE converted)</t>
  </si>
  <si>
    <t>Series A investors (new)</t>
  </si>
  <si>
    <t>Series A Preferred</t>
  </si>
  <si>
    <t>Total</t>
  </si>
  <si>
    <t>SAFE conversion</t>
  </si>
  <si>
    <t>Investor</t>
  </si>
  <si>
    <t>Purchase amount (USD)</t>
  </si>
  <si>
    <t>Post-money cap (USD)</t>
  </si>
  <si>
    <t>Ownership</t>
  </si>
  <si>
    <t>Conversion price (USD)</t>
  </si>
  <si>
    <t>Tidewater Seed Fund I, LP</t>
  </si>
  <si>
    <t>Anselm Hartley (angel)</t>
  </si>
  <si>
    <t>Total SAFEs</t>
  </si>
  <si>
    <t>Series A</t>
  </si>
  <si>
    <t>Pre-money valuation (USD)</t>
  </si>
  <si>
    <t>New money (USD)</t>
  </si>
  <si>
    <t>Post-money valuation (USD)</t>
  </si>
  <si>
    <t>Price per share (USD)</t>
  </si>
  <si>
    <t>New shares issued</t>
  </si>
  <si>
    <t>Series A ownership</t>
  </si>
  <si>
    <t>Synthetic data room for Deal Flow NYC 2026. Not a real company.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</si>
</sst>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0.00%"/>
    <numFmt numFmtId="166" formatCode="0.0%"/>
    <numFmt numFmtId="167" formatCode="0.00"/>
  </numFmts>
  <fonts count="5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rgb="FF5555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4213D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164" fontId="0" fillId="0" borderId="0" xfId="0" applyNumberFormat="1"/>
    <xf numFmtId="165" fontId="0" fillId="0" borderId="0" xfId="0" applyNumberFormat="1"/>
    <xf numFmtId="0" fontId="4" fillId="0" borderId="0" xfId="0" applyFont="1"/>
    <xf numFmtId="164" fontId="4" fillId="0" borderId="1" xfId="0" applyNumberFormat="1" applyFont="1" applyBorder="1"/>
    <xf numFmtId="166" fontId="4" fillId="0" borderId="0" xfId="0" applyNumberFormat="1" applyFon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tabSelected="1" workbookViewId="0"/>
  </sheetViews>
  <sheetFormatPr defaultRowHeight="15"/>
  <cols>
    <col min="1" max="1" width="40.7109375" customWidth="1"/>
    <col min="2" max="2" width="30.7109375" customWidth="1"/>
    <col min="3" max="6" width="20.7109375" customWidth="1"/>
  </cols>
  <sheetData>
    <row r="1" spans="1:6">
      <c r="A1" s="1" t="s">
        <v>0</v>
      </c>
    </row>
    <row r="2" spans="1:6">
      <c r="A2" s="2" t="s">
        <v>1</v>
      </c>
    </row>
    <row r="4" spans="1:6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>
      <c r="A5" t="s">
        <v>8</v>
      </c>
      <c r="B5" t="s">
        <v>9</v>
      </c>
      <c r="C5" s="4">
        <v>4400000</v>
      </c>
      <c r="D5" s="5">
        <f>C5/C$12</f>
        <v>0.36666666666666664</v>
      </c>
      <c r="E5" s="4">
        <f>C5</f>
        <v>4400000</v>
      </c>
      <c r="F5" s="5">
        <f>E5/E$12</f>
        <v>0.3055555555555556</v>
      </c>
    </row>
    <row r="6" spans="1:6">
      <c r="A6" t="s">
        <v>10</v>
      </c>
      <c r="B6" t="s">
        <v>9</v>
      </c>
      <c r="C6" s="4">
        <v>3600000</v>
      </c>
      <c r="D6" s="5">
        <f>C6/C$12</f>
        <v>0.3</v>
      </c>
      <c r="E6" s="4">
        <f>C6</f>
        <v>3600000</v>
      </c>
      <c r="F6" s="5">
        <f>E6/E$12</f>
        <v>0.25</v>
      </c>
    </row>
    <row r="7" spans="1:6">
      <c r="A7" t="s">
        <v>11</v>
      </c>
      <c r="B7" t="s">
        <v>12</v>
      </c>
      <c r="C7" s="4">
        <v>1150000</v>
      </c>
      <c r="D7" s="5">
        <f>C7/C$12</f>
        <v>0.09583333333333334</v>
      </c>
      <c r="E7" s="4">
        <f>C7</f>
        <v>1150000</v>
      </c>
      <c r="F7" s="5">
        <f>E7/E$12</f>
        <v>0.0798611111111111</v>
      </c>
    </row>
    <row r="8" spans="1:6">
      <c r="A8" t="s">
        <v>13</v>
      </c>
      <c r="B8" t="s">
        <v>14</v>
      </c>
      <c r="C8" s="4">
        <v>850000</v>
      </c>
      <c r="D8" s="5">
        <f>C8/C$12</f>
        <v>0.07083333333333333</v>
      </c>
      <c r="E8" s="4">
        <f>C8</f>
        <v>850000</v>
      </c>
      <c r="F8" s="5">
        <f>E8/E$12</f>
        <v>0.059027777777777776</v>
      </c>
    </row>
    <row r="9" spans="1:6">
      <c r="A9" t="s">
        <v>15</v>
      </c>
      <c r="B9" t="s">
        <v>16</v>
      </c>
      <c r="C9" s="4">
        <v>1200000</v>
      </c>
      <c r="D9" s="5">
        <f>C9/C$12</f>
        <v>0.1</v>
      </c>
      <c r="E9" s="4">
        <f>C9</f>
        <v>1200000</v>
      </c>
      <c r="F9" s="5">
        <f>E9/E$12</f>
        <v>0.08333333333333333</v>
      </c>
    </row>
    <row r="10" spans="1:6">
      <c r="A10" t="s">
        <v>17</v>
      </c>
      <c r="B10" t="s">
        <v>16</v>
      </c>
      <c r="C10" s="4">
        <v>800000</v>
      </c>
      <c r="D10" s="5">
        <f>C10/C$12</f>
        <v>0.06666666666666667</v>
      </c>
      <c r="E10" s="4">
        <f>C10</f>
        <v>800000</v>
      </c>
      <c r="F10" s="5">
        <f>E10/E$12</f>
        <v>0.05555555555555555</v>
      </c>
    </row>
    <row r="11" spans="1:6">
      <c r="A11" t="s">
        <v>18</v>
      </c>
      <c r="B11" t="s">
        <v>19</v>
      </c>
      <c r="C11" s="4">
        <v>0</v>
      </c>
      <c r="D11" s="5">
        <f>C11/C$12</f>
        <v>0</v>
      </c>
      <c r="E11" s="4">
        <f>B25</f>
        <v>2400000</v>
      </c>
      <c r="F11" s="5">
        <f>E11/E$12</f>
        <v>0.16666666666666666</v>
      </c>
    </row>
    <row r="12" spans="1:6">
      <c r="A12" s="6" t="s">
        <v>20</v>
      </c>
      <c r="C12" s="7">
        <f>SUM(C5:C11)</f>
        <v>12000000</v>
      </c>
      <c r="D12" s="8">
        <f>SUM(D5:D11)</f>
        <v>1.0</v>
      </c>
      <c r="E12" s="7">
        <f>SUM(E5:E11)</f>
        <v>14400000</v>
      </c>
      <c r="F12" s="8">
        <f>SUM(F5:F11)</f>
        <v>1.0</v>
      </c>
    </row>
    <row r="14" spans="1:6">
      <c r="A14" s="6" t="s">
        <v>21</v>
      </c>
    </row>
    <row r="15" spans="1:6">
      <c r="A15" s="3" t="s">
        <v>22</v>
      </c>
      <c r="B15" s="3" t="s">
        <v>23</v>
      </c>
      <c r="C15" s="3" t="s">
        <v>24</v>
      </c>
      <c r="D15" s="3" t="s">
        <v>25</v>
      </c>
      <c r="E15" s="3" t="s">
        <v>26</v>
      </c>
      <c r="F15" s="3" t="s">
        <v>4</v>
      </c>
    </row>
    <row r="16" spans="1:6">
      <c r="A16" t="s">
        <v>27</v>
      </c>
      <c r="B16" s="4">
        <v>1200000</v>
      </c>
      <c r="C16" s="4">
        <v>12000000</v>
      </c>
      <c r="D16" s="5">
        <f>B16/C16</f>
        <v>0.1</v>
      </c>
      <c r="E16" s="9">
        <f>C16/C$12</f>
        <v>1.0</v>
      </c>
      <c r="F16" s="4">
        <f>B16/E16</f>
        <v>1200000.0</v>
      </c>
    </row>
    <row r="17" spans="1:6">
      <c r="A17" t="s">
        <v>28</v>
      </c>
      <c r="B17" s="4">
        <v>800000</v>
      </c>
      <c r="C17" s="4">
        <v>12000000</v>
      </c>
      <c r="D17" s="5">
        <f>B17/C17</f>
        <v>0.06666666666666667</v>
      </c>
      <c r="E17" s="9">
        <f>C17/C$12</f>
        <v>1.0</v>
      </c>
      <c r="F17" s="4">
        <f>B17/E17</f>
        <v>800000.0</v>
      </c>
    </row>
    <row r="18" spans="1:6">
      <c r="A18" s="6" t="s">
        <v>29</v>
      </c>
      <c r="B18" s="7">
        <f>SUM(B16:B17)</f>
        <v>2000000</v>
      </c>
      <c r="D18" s="8">
        <f>SUM(D16:D17)</f>
        <v>0.16666666666666666</v>
      </c>
      <c r="F18" s="7">
        <f>SUM(F16:F17)</f>
        <v>2000000.0</v>
      </c>
    </row>
    <row r="20" spans="1:6">
      <c r="A20" s="6" t="s">
        <v>30</v>
      </c>
    </row>
    <row r="21" spans="1:6">
      <c r="A21" t="s">
        <v>31</v>
      </c>
      <c r="B21" s="4">
        <v>45000000</v>
      </c>
    </row>
    <row r="22" spans="1:6">
      <c r="A22" t="s">
        <v>32</v>
      </c>
      <c r="B22" s="4">
        <v>9000000</v>
      </c>
    </row>
    <row r="23" spans="1:6">
      <c r="A23" t="s">
        <v>33</v>
      </c>
      <c r="B23" s="4">
        <f>B21+B22</f>
        <v>54000000</v>
      </c>
    </row>
    <row r="24" spans="1:6">
      <c r="A24" t="s">
        <v>34</v>
      </c>
      <c r="B24" s="9">
        <f>B21/C12</f>
        <v>3.75</v>
      </c>
    </row>
    <row r="25" spans="1:6">
      <c r="A25" t="s">
        <v>35</v>
      </c>
      <c r="B25" s="4">
        <f>B22/B24</f>
        <v>2400000</v>
      </c>
    </row>
    <row r="26" spans="1:6">
      <c r="A26" t="s">
        <v>36</v>
      </c>
      <c r="B26" s="5">
        <f>B22/B23</f>
        <v>0.16666666666666666</v>
      </c>
    </row>
    <row r="29" spans="1:6">
      <c r="A29" s="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Cap_Table</vt:lpstr>
      <vt:lpstr>CAP_TOTAL_PCT</vt:lpstr>
    </vt:vector>
  </TitlesOfParts>
  <Company>Hollis Voice (synthetic)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cap_table</dc:title>
  <dc:creator>Hollis Voice (synthetic)</dc:creator>
  <dc:description>Synthetic data room for Deal Flow NYC 2026. Not a real company.</dc:description>
  <cp:lastModifiedBy>Hollis Voice (synthetic)</cp:lastModifiedBy>
  <dcterms:created xsi:type="dcterms:W3CDTF">2026-10-01T09:00:00Z</dcterms:created>
  <dcterms:modified xsi:type="dcterms:W3CDTF">2026-10-01T09:00:00Z</dcterms:modified>
</cp:coreProperties>
</file>