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Assumptions" sheetId="2" r:id="rId2"/>
    <sheet name="P&amp;L" sheetId="3" r:id="rId3"/>
    <sheet name="ARR_Build" sheetId="4" r:id="rId4"/>
    <sheet name="Cohorts" sheetId="5" r:id="rId5"/>
    <sheet name="Hiring_Plan" sheetId="6" r:id="rId6"/>
    <sheet name="Cash_Runway" sheetId="7" r:id="rId7"/>
    <sheet name="Cash_Bridge" sheetId="8" r:id="rId8"/>
  </sheets>
  <definedNames>
    <definedName name="ARR_TOTAL">ARR_Build!$E$15</definedName>
    <definedName name="AS_OF_DATE">Assumptions!$B$5</definedName>
    <definedName name="AVG_BASE_NOW">Assumptions!$B$10</definedName>
    <definedName name="AVG_NET_BURN_12M">Cash_Runway!$B$4</definedName>
    <definedName name="CASH_BRIDGE_DIFF">Cash_Bridge!$B$12</definedName>
    <definedName name="CASH_START">Assumptions!$B$6</definedName>
    <definedName name="COHORT_CUSTOMERS">Cohorts!$B$14</definedName>
    <definedName name="GM_PCT">'P&amp;L'!$W$19</definedName>
    <definedName name="HIRES_COUNTED">Hiring_Plan!$B$29</definedName>
    <definedName name="HOSTING_USD_MONTH">Assumptions!$B$13</definedName>
    <definedName name="LICENCES_PCT">Assumptions!$B$12</definedName>
    <definedName name="LOAD_FACTOR">Assumptions!$B$8</definedName>
    <definedName name="NET_LOSS_BEFORE_2025_USD">Assumptions!$B$21</definedName>
    <definedName name="NRR_12M">Cohorts!$E$14</definedName>
    <definedName name="PAYROLL_NOW_USD_MONTH">Assumptions!$B$22</definedName>
    <definedName name="PROGRAMS_USD_MONTH">Assumptions!$B$15</definedName>
    <definedName name="RAISED_PRESEED_SAFE_USD">Assumptions!$B$19</definedName>
    <definedName name="RAISED_SEED_SAFE_USD">Assumptions!$B$20</definedName>
    <definedName name="RENT_ETC_USD_MONTH">Assumptions!$B$14</definedName>
    <definedName name="REV_GROWTH">Assumptions!$B$7</definedName>
    <definedName name="REV_START_USD_MONTH">Assumptions!$B$18</definedName>
    <definedName name="RUNWAY_MONTHS">Cash_Runway!$B$3</definedName>
    <definedName name="SERIES_A_PLAN_MONTH">Assumptions!$B$17</definedName>
    <definedName name="SERIES_A_RAISE">Assumptions!$B$16</definedName>
    <definedName name="STAFF_NOW">Assumptions!$B$9</definedName>
    <definedName name="TELEPHONY_PCT">Assumptions!$B$11</definedName>
  </definedNames>
  <calcPr calcId="124519" fullCalcOnLoad="1"/>
</workbook>
</file>

<file path=xl/sharedStrings.xml><?xml version="1.0" encoding="utf-8"?>
<sst xmlns="http://schemas.openxmlformats.org/spreadsheetml/2006/main" count="448" uniqueCount="281">
  <si>
    <t>Hollis Voice: financial model</t>
  </si>
  <si>
    <t>Data as of 2026-09-30. All figures in US dollars. Actual months 2025-01 to 2026-09. Plan months 2026-10 onward.</t>
  </si>
  <si>
    <t>Tabs</t>
  </si>
  <si>
    <t>Assumptions: the inputs the plan uses.</t>
  </si>
  <si>
    <t>P&amp;L: monthly income statement, 21 months of actuals and 12 months of plan.</t>
  </si>
  <si>
    <t>ARR_Build: how annual recurring revenue (ARR) is built up at the data date.</t>
  </si>
  <si>
    <t>Cohorts: 12-month revenue retention of customer cohorts.</t>
  </si>
  <si>
    <t>Hiring_Plan: the hires the plan pays for.</t>
  </si>
  <si>
    <t>Cash_Runway: monthly cash and the number of months the cash lasts.</t>
  </si>
  <si>
    <t>Cash_Bridge: money raised, less losses since the company began, equals cash at the data date.</t>
  </si>
  <si>
    <t>Definitions</t>
  </si>
  <si>
    <t>ARR: monthly recurring revenue from signed, live agreements, times 12. One-time fees are left out.</t>
  </si>
  <si>
    <t>Gross margin: recurring revenue less cost of revenue, divided by recurring revenue.</t>
  </si>
  <si>
    <t>Net revenue retention: revenue from a group of customers 12 months after they started, divided by what they paid in their first month.</t>
  </si>
  <si>
    <t>Runway: the number of months after 2026-09-30 in which cash stays above zero.</t>
  </si>
  <si>
    <t>Synthetic data room for Deal Flow NYC 2026. Not a real company.</t>
  </si>
  <si>
    <t>Assumptions</t>
  </si>
  <si>
    <t>Cells with a yellow fill are named cells.</t>
  </si>
  <si>
    <t>Input</t>
  </si>
  <si>
    <t>Value</t>
  </si>
  <si>
    <t>Note</t>
  </si>
  <si>
    <t>Data date</t>
  </si>
  <si>
    <t>2026-09-30</t>
  </si>
  <si>
    <t>Last day of the last actual month.</t>
  </si>
  <si>
    <t>Cash at the data date (USD)</t>
  </si>
  <si>
    <t>Bank balance at 2026-09-30.</t>
  </si>
  <si>
    <t>Recurring revenue growth per month</t>
  </si>
  <si>
    <t>A flat planning rate.</t>
  </si>
  <si>
    <t>Loaded cost factor on base pay</t>
  </si>
  <si>
    <t>Base pay times this factor gives payroll cost including taxes and benefits.</t>
  </si>
  <si>
    <t>Staff at the data date</t>
  </si>
  <si>
    <t>All departments.</t>
  </si>
  <si>
    <t>Average base pay today (USD a year)</t>
  </si>
  <si>
    <t>Across the 17 current staff.</t>
  </si>
  <si>
    <t>Telephony as a share of recurring revenue</t>
  </si>
  <si>
    <t>Booked in cost of revenue.</t>
  </si>
  <si>
    <t>Software licences as a share of recurring revenue</t>
  </si>
  <si>
    <t>Cloud hosting and model inference (USD a month)</t>
  </si>
  <si>
    <t>Booked in cost of revenue. Held at the September 2026 level in the plan.</t>
  </si>
  <si>
    <t>Rent, tools, legal and other (USD a month)</t>
  </si>
  <si>
    <t>Booked under G&amp;A. Held flat.</t>
  </si>
  <si>
    <t>Marketing programs after the raise (USD a month)</t>
  </si>
  <si>
    <t>Starts the month the Series A closes.</t>
  </si>
  <si>
    <t>Series A raise (USD)</t>
  </si>
  <si>
    <t>Lands in plan month 4 (2027-01).</t>
  </si>
  <si>
    <t>Plan month the Series A cash arrives</t>
  </si>
  <si>
    <t>Plan month 1 is 2026-10.</t>
  </si>
  <si>
    <t>Recurring revenue in the last actual month (USD)</t>
  </si>
  <si>
    <t>From P&amp;L, 2026-09.</t>
  </si>
  <si>
    <t>Raised in 2024: pre-seed SAFEs (USD)</t>
  </si>
  <si>
    <t>Two SAFEs on a $12,000,000 post-money cap. See the cap table.</t>
  </si>
  <si>
    <t>Raised in 2025: seed SAFE (USD)</t>
  </si>
  <si>
    <t>One SAFE on a $28,000,000 post-money cap. See the cap table.</t>
  </si>
  <si>
    <t>Net loss before 2025-01 (USD)</t>
  </si>
  <si>
    <t>Spend in 2024 before the first paying clinic. Cash_Bridge ties this to cash.</t>
  </si>
  <si>
    <t>Payroll today (USD a month)</t>
  </si>
  <si>
    <t>Staff times average base pay times the loaded factor, divided by 12.</t>
  </si>
  <si>
    <t>Hollis Voice: income statement and 12-month plan (USD)</t>
  </si>
  <si>
    <t>Actual through 2026-09. Plan from 2026-10. Gross margin is on recurring revenue (subscription plus pilot).</t>
  </si>
  <si>
    <t>Line</t>
  </si>
  <si>
    <t>Section</t>
  </si>
  <si>
    <t>2025-01</t>
  </si>
  <si>
    <t>Actual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</si>
  <si>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</si>
  <si>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</si>
  <si>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</si>
  <si>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</si>
  <si>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</si>
  <si>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</si>
  <si>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</si>
  <si>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</si>
  <si>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</si>
  <si>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</si>
  <si>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</si>
  <si>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</si>
  <si>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</si>
  <si>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</si>
  <si>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</si>
  <si>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</si>
  <si>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</si>
  <si>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</si>
  <si>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</si>
  <si>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</si>
  <si>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</si>
  <si>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Plan</t>
  </si>
  <si>
    <t>2026-11</t>
  </si>
  <si>
    <t>2026-12</t>
  </si>
  <si>
    <t>2027-01</t>
  </si>
  <si>
    <t>2027-02</t>
  </si>
  <si>
    <t>2027-03</t>
  </si>
  <si>
    <t>2027-04</t>
  </si>
  <si>
    <t>2027-05</t>
  </si>
  <si>
    <t>2027-06</t>
  </si>
  <si>
    <t>2027-07</t>
  </si>
  <si>
    <t>2027-08</t>
  </si>
  <si>
    <t>2027-09</t>
  </si>
  <si>
    <t>Revenue</t>
  </si>
  <si>
    <t>Subscription revenue</t>
  </si>
  <si>
    <t>Pilot revenue (not recurring)</t>
  </si>
  <si>
    <t>Onboarding fees (one-time)</t>
  </si>
  <si>
    <t>Recurring revenue (subscription)</t>
  </si>
  <si>
    <t>Total revenue</t>
  </si>
  <si>
    <t>Cost of revenue</t>
  </si>
  <si>
    <t>Telephony</t>
  </si>
  <si>
    <t>COGS</t>
  </si>
  <si>
    <t>Third-party software licences</t>
  </si>
  <si>
    <t>Cloud hosting and model inference</t>
  </si>
  <si>
    <t>Customer support specialists</t>
  </si>
  <si>
    <t>Total cost of revenue</t>
  </si>
  <si>
    <t>Gross profit (recurring revenue less cost of revenue)</t>
  </si>
  <si>
    <t>Gross margin</t>
  </si>
  <si>
    <t>Operating expenses</t>
  </si>
  <si>
    <t>Payroll: engineering and product</t>
  </si>
  <si>
    <t>R&amp;D</t>
  </si>
  <si>
    <t>Payroll: sales, marketing and implementation</t>
  </si>
  <si>
    <t>S&amp;M</t>
  </si>
  <si>
    <t>Marketing programs</t>
  </si>
  <si>
    <t>Payroll: general and administrative</t>
  </si>
  <si>
    <t>G&amp;A</t>
  </si>
  <si>
    <t>Rent, tools, legal and other</t>
  </si>
  <si>
    <t>Total operating expenses</t>
  </si>
  <si>
    <t>Operating result (gross profit plus pilot and onboarding fees less operating expenses)</t>
  </si>
  <si>
    <t>Memo</t>
  </si>
  <si>
    <t>Payroll</t>
  </si>
  <si>
    <t>Net burn (negative of operating result)</t>
  </si>
  <si>
    <t>Staff at month end</t>
  </si>
  <si>
    <t>ARR build at 2026-09-30 (USD)</t>
  </si>
  <si>
    <t>ARR is monthly recurring revenue from signed, live agreements times 12. One-time fees are left out.</t>
  </si>
  <si>
    <t>Product type</t>
  </si>
  <si>
    <t>Customers</t>
  </si>
  <si>
    <t>MRR</t>
  </si>
  <si>
    <t>ARR counted</t>
  </si>
  <si>
    <t>Subscriptions signed 2025 Q1</t>
  </si>
  <si>
    <t>Subscription</t>
  </si>
  <si>
    <t>Monthly plans and annual plans paid up front; revenue is spread over the term.</t>
  </si>
  <si>
    <t>Subscriptions signed 2025 Q2</t>
  </si>
  <si>
    <t>Subscriptions signed 2025 Q3</t>
  </si>
  <si>
    <t>Subscriptions signed 2025 Q4</t>
  </si>
  <si>
    <t>Subscriptions signed 2026 Q1</t>
  </si>
  <si>
    <t>Subscriptions signed 2026 Q2</t>
  </si>
  <si>
    <t>Subscriptions signed 2026 Q3</t>
  </si>
  <si>
    <t>Subscription ARR</t>
  </si>
  <si>
    <t>Marlow Veterinary Group (pilot)</t>
  </si>
  <si>
    <t>Pilot</t>
  </si>
  <si>
    <t>Six-month pilot signed 2026-08-01, $15,000 a month. A trial with no duty to convert, so not counted in ARR.</t>
  </si>
  <si>
    <t>Onboarding fees</t>
  </si>
  <si>
    <t>Onboarding</t>
  </si>
  <si>
    <t>$500 per new clinic. September 2026: 19 new clinics, $9,500 in fees.</t>
  </si>
  <si>
    <t>ARR total</t>
  </si>
  <si>
    <t>Monthly history</t>
  </si>
  <si>
    <t>Month</t>
  </si>
  <si>
    <t>Subscription MRR</t>
  </si>
  <si>
    <t>Pilot MRR</t>
  </si>
  <si>
    <t>ARR (subscription MRR times 12)</t>
  </si>
  <si>
    <t>Cohorts: 12-month revenue retention</t>
  </si>
  <si>
    <t>Cohort = every customer whose first invoice fell in the month</t>
  </si>
  <si>
    <t>Cohort (first invoice month)</t>
  </si>
  <si>
    <t>Starting MRR</t>
  </si>
  <si>
    <t>MRR after 12 months</t>
  </si>
  <si>
    <t>Net revenue retention</t>
  </si>
  <si>
    <t>M0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</si>
  <si>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</si>
  <si>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</si>
  <si>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</si>
  <si>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</si>
  <si>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</si>
  <si>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</si>
  <si>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</si>
  <si>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</si>
  <si>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</si>
  <si>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</si>
  <si>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</si>
  <si>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</si>
  <si>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All cohorts</t>
  </si>
  <si>
    <t>Hiring plan used in this model</t>
  </si>
  <si>
    <t>Loaded monthly cost = base pay times the load factor, divided by 12.</t>
  </si>
  <si>
    <t>Role</t>
  </si>
  <si>
    <t>Department</t>
  </si>
  <si>
    <t>Start month</t>
  </si>
  <si>
    <t>Base pay (USD a year)</t>
  </si>
  <si>
    <t>Loaded cost (USD a month)</t>
  </si>
  <si>
    <t>Senior Voice Engineer</t>
  </si>
  <si>
    <t>Engineering</t>
  </si>
  <si>
    <t>Customer Success Manager</t>
  </si>
  <si>
    <t>Customer Success</t>
  </si>
  <si>
    <t>Machine Learning Engineer</t>
  </si>
  <si>
    <t>Account Executive</t>
  </si>
  <si>
    <t>Sales</t>
  </si>
  <si>
    <t>Backend Engineer</t>
  </si>
  <si>
    <t>Implementation Specialist</t>
  </si>
  <si>
    <t>Head of Sales</t>
  </si>
  <si>
    <t>Support Specialist</t>
  </si>
  <si>
    <t>Support</t>
  </si>
  <si>
    <t>Data Engineer</t>
  </si>
  <si>
    <t>Marketing Manager</t>
  </si>
  <si>
    <t>Marketing</t>
  </si>
  <si>
    <t>Security Engineer</t>
  </si>
  <si>
    <t>Frontend Engineer</t>
  </si>
  <si>
    <t>Engineering Manager</t>
  </si>
  <si>
    <t>Finance Manager</t>
  </si>
  <si>
    <t>QA Engineer</t>
  </si>
  <si>
    <t>Solutions Engineer</t>
  </si>
  <si>
    <t>Support Lead</t>
  </si>
  <si>
    <t>Product Manager</t>
  </si>
  <si>
    <t>Recruiter</t>
  </si>
  <si>
    <t>Hires in this plan</t>
  </si>
  <si>
    <t>Staff after these hires</t>
  </si>
  <si>
    <t>Cash and runway (USD)</t>
  </si>
  <si>
    <t>Runway (months of cash from the data date)</t>
  </si>
  <si>
    <t>Average net burn, plan months 1 to 12 (USD a month)</t>
  </si>
  <si>
    <t>Plan month</t>
  </si>
  <si>
    <t>Recurring revenue</t>
  </si>
  <si>
    <t>Hosting, rent, tools, legal and other</t>
  </si>
  <si>
    <t>Net burn</t>
  </si>
  <si>
    <t>Equity raised</t>
  </si>
  <si>
    <t>Ending cash</t>
  </si>
  <si>
    <t>2027-10</t>
  </si>
  <si>
    <t>2027-11</t>
  </si>
  <si>
    <t>2027-12</t>
  </si>
  <si>
    <t>2028-01</t>
  </si>
  <si>
    <t>2028-02</t>
  </si>
  <si>
    <t>2028-03</t>
  </si>
  <si>
    <t>2028-04</t>
  </si>
  <si>
    <t>2028-05</t>
  </si>
  <si>
    <t>2028-06</t>
  </si>
  <si>
    <t>2028-07</t>
  </si>
  <si>
    <t>2028-08</t>
  </si>
  <si>
    <t>2028-09</t>
  </si>
  <si>
    <t>2028-10</t>
  </si>
  <si>
    <t>2028-11</t>
  </si>
  <si>
    <t>2028-12</t>
  </si>
  <si>
    <t>2029-01</t>
  </si>
  <si>
    <t>2029-02</t>
  </si>
  <si>
    <t>2029-03</t>
  </si>
  <si>
    <t>2029-04</t>
  </si>
  <si>
    <t>2029-05</t>
  </si>
  <si>
    <t>2029-06</t>
  </si>
  <si>
    <t>2029-07</t>
  </si>
  <si>
    <t>2029-08</t>
  </si>
  <si>
    <t>2029-09</t>
  </si>
  <si>
    <t>2029-10</t>
  </si>
  <si>
    <t>2029-11</t>
  </si>
  <si>
    <t>2029-12</t>
  </si>
  <si>
    <t>2030-01</t>
  </si>
  <si>
    <t>2030-02</t>
  </si>
  <si>
    <t>2030-03</t>
  </si>
  <si>
    <t>2030-04</t>
  </si>
  <si>
    <t>2030-05</t>
  </si>
  <si>
    <t>2030-06</t>
  </si>
  <si>
    <t>2030-07</t>
  </si>
  <si>
    <t>2030-08</t>
  </si>
  <si>
    <t>2030-09</t>
  </si>
  <si>
    <t>2030-10</t>
  </si>
  <si>
    <t>2030-11</t>
  </si>
  <si>
    <t>2030-12</t>
  </si>
  <si>
    <t>2031-01</t>
  </si>
  <si>
    <t>2031-02</t>
  </si>
  <si>
    <t>2031-03</t>
  </si>
  <si>
    <t>2031-04</t>
  </si>
  <si>
    <t>2031-05</t>
  </si>
  <si>
    <t>2031-06</t>
  </si>
  <si>
    <t>2031-07</t>
  </si>
  <si>
    <t>2031-08</t>
  </si>
  <si>
    <t>2031-09</t>
  </si>
  <si>
    <t>Cash bridge: money raised to cash at the data date (USD)</t>
  </si>
  <si>
    <t>Cash burn is taken as the operating result in the P&amp;L. The model does not track working capital timing.</t>
  </si>
  <si>
    <t>USD</t>
  </si>
  <si>
    <t>Raised in 2024: pre-seed SAFEs</t>
  </si>
  <si>
    <t>Two SAFEs. See the cap table.</t>
  </si>
  <si>
    <t>Raised in 2025: seed SAFE</t>
  </si>
  <si>
    <t>One SAFE. See the cap table.</t>
  </si>
  <si>
    <t>Total raised before the Series A</t>
  </si>
  <si>
    <t>Less: net loss before 2025-01</t>
  </si>
  <si>
    <t>2024 spend, before the first paying clinic.</t>
  </si>
  <si>
    <t>Less: net loss 2025-01 to 2026-09</t>
  </si>
  <si>
    <t>Sum of the P&amp;L operating result over the 21 actual months.</t>
  </si>
  <si>
    <t>Cash at 2026-09-30 from the bridge</t>
  </si>
  <si>
    <t>Cash at 2026-09-30 in Assumptions</t>
  </si>
  <si>
    <t>Bank balance.</t>
  </si>
  <si>
    <t>Difference</t>
  </si>
  <si>
    <t>Rounding only: the loss before 2025 is stated in whole dollars.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</si>
</sst>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#,##0.00"/>
  </numFmts>
  <fonts count="5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555555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4213D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E8EEF4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2" fillId="3" borderId="0" xfId="0" applyFont="1" applyFill="1"/>
    <xf numFmtId="164" fontId="2" fillId="3" borderId="0" xfId="0" applyNumberFormat="1" applyFont="1" applyFill="1"/>
    <xf numFmtId="165" fontId="2" fillId="3" borderId="0" xfId="0" applyNumberFormat="1" applyFont="1" applyFill="1"/>
    <xf numFmtId="0" fontId="4" fillId="2" borderId="0" xfId="0" applyFont="1" applyFill="1" applyAlignment="1">
      <alignment horizontal="center"/>
    </xf>
    <xf numFmtId="0" fontId="2" fillId="4" borderId="0" xfId="0" applyFont="1" applyFill="1"/>
    <xf numFmtId="164" fontId="0" fillId="0" borderId="0" xfId="0" applyNumberFormat="1"/>
    <xf numFmtId="164" fontId="2" fillId="0" borderId="1" xfId="0" applyNumberFormat="1" applyFont="1" applyBorder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9"/>
  <sheetViews>
    <sheetView tabSelected="1" workbookViewId="0"/>
  </sheetViews>
  <sheetFormatPr defaultRowHeight="15"/>
  <cols>
    <col min="1" max="1" width="110.7109375" customWidth="1"/>
  </cols>
  <sheetData>
    <row r="1" spans="1:1">
      <c r="A1" s="1" t="s">
        <v>0</v>
      </c>
    </row>
    <row r="2" spans="1:1">
      <c r="A2" t="s">
        <v>1</v>
      </c>
    </row>
    <row r="4" spans="1:1">
      <c r="A4" s="2" t="s">
        <v>2</v>
      </c>
    </row>
    <row r="5" spans="1:1">
      <c r="A5" t="s">
        <v>3</v>
      </c>
    </row>
    <row r="6" spans="1:1">
      <c r="A6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3" spans="1:1">
      <c r="A13" s="2" t="s">
        <v>10</v>
      </c>
    </row>
    <row r="14" spans="1:1">
      <c r="A14" t="s">
        <v>11</v>
      </c>
    </row>
    <row r="15" spans="1:1">
      <c r="A15" t="s">
        <v>12</v>
      </c>
    </row>
    <row r="16" spans="1:1">
      <c r="A16" t="s">
        <v>13</v>
      </c>
    </row>
    <row r="17" spans="1:1">
      <c r="A17" t="s">
        <v>14</v>
      </c>
    </row>
    <row r="19" spans="1:1">
      <c r="A19" s="3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4"/>
  <sheetViews>
    <sheetView workbookViewId="0"/>
  </sheetViews>
  <sheetFormatPr defaultRowHeight="15"/>
  <cols>
    <col min="1" max="1" width="46.7109375" customWidth="1"/>
    <col min="2" max="2" width="18.7109375" customWidth="1"/>
    <col min="3" max="3" width="80.7109375" customWidth="1"/>
  </cols>
  <sheetData>
    <row r="1" spans="1:3">
      <c r="A1" s="1" t="s">
        <v>16</v>
      </c>
    </row>
    <row r="2" spans="1:3">
      <c r="A2" s="3" t="s">
        <v>17</v>
      </c>
    </row>
    <row r="4" spans="1:3">
      <c r="A4" s="4" t="s">
        <v>18</v>
      </c>
      <c r="B4" s="4" t="s">
        <v>19</v>
      </c>
      <c r="C4" s="4" t="s">
        <v>20</v>
      </c>
    </row>
    <row r="5" spans="1:3">
      <c r="A5" t="s">
        <v>21</v>
      </c>
      <c r="B5" s="5" t="s">
        <v>22</v>
      </c>
      <c r="C5" s="3" t="s">
        <v>23</v>
      </c>
    </row>
    <row r="6" spans="1:3">
      <c r="A6" t="s">
        <v>24</v>
      </c>
      <c r="B6" s="6">
        <v>1800000</v>
      </c>
      <c r="C6" s="3" t="s">
        <v>25</v>
      </c>
    </row>
    <row r="7" spans="1:3">
      <c r="A7" t="s">
        <v>26</v>
      </c>
      <c r="B7" s="7">
        <v>0.035</v>
      </c>
      <c r="C7" s="3" t="s">
        <v>27</v>
      </c>
    </row>
    <row r="8" spans="1:3">
      <c r="A8" t="s">
        <v>28</v>
      </c>
      <c r="B8" s="6">
        <v>1.28</v>
      </c>
      <c r="C8" s="3" t="s">
        <v>29</v>
      </c>
    </row>
    <row r="9" spans="1:3">
      <c r="A9" t="s">
        <v>30</v>
      </c>
      <c r="B9" s="6">
        <v>17</v>
      </c>
      <c r="C9" s="3" t="s">
        <v>31</v>
      </c>
    </row>
    <row r="10" spans="1:3">
      <c r="A10" t="s">
        <v>32</v>
      </c>
      <c r="B10" s="6">
        <v>140000</v>
      </c>
      <c r="C10" s="3" t="s">
        <v>33</v>
      </c>
    </row>
    <row r="11" spans="1:3">
      <c r="A11" t="s">
        <v>34</v>
      </c>
      <c r="B11" s="7">
        <v>0.15</v>
      </c>
      <c r="C11" s="3" t="s">
        <v>35</v>
      </c>
    </row>
    <row r="12" spans="1:3">
      <c r="A12" t="s">
        <v>36</v>
      </c>
      <c r="B12" s="7">
        <v>0.05</v>
      </c>
      <c r="C12" s="3" t="s">
        <v>35</v>
      </c>
    </row>
    <row r="13" spans="1:3">
      <c r="A13" t="s">
        <v>37</v>
      </c>
      <c r="B13" s="6">
        <v>18891.29</v>
      </c>
      <c r="C13" s="3" t="s">
        <v>38</v>
      </c>
    </row>
    <row r="14" spans="1:3">
      <c r="A14" t="s">
        <v>39</v>
      </c>
      <c r="B14" s="6">
        <v>60000</v>
      </c>
      <c r="C14" s="3" t="s">
        <v>40</v>
      </c>
    </row>
    <row r="15" spans="1:3">
      <c r="A15" t="s">
        <v>41</v>
      </c>
      <c r="B15" s="6">
        <v>140000</v>
      </c>
      <c r="C15" s="3" t="s">
        <v>42</v>
      </c>
    </row>
    <row r="16" spans="1:3">
      <c r="A16" t="s">
        <v>43</v>
      </c>
      <c r="B16" s="6">
        <v>9000000</v>
      </c>
      <c r="C16" s="3" t="s">
        <v>44</v>
      </c>
    </row>
    <row r="17" spans="1:3">
      <c r="A17" t="s">
        <v>45</v>
      </c>
      <c r="B17" s="6">
        <v>4</v>
      </c>
      <c r="C17" s="3" t="s">
        <v>46</v>
      </c>
    </row>
    <row r="18" spans="1:3">
      <c r="A18" t="s">
        <v>47</v>
      </c>
      <c r="B18" s="6">
        <v>171739</v>
      </c>
      <c r="C18" s="3" t="s">
        <v>48</v>
      </c>
    </row>
    <row r="19" spans="1:3">
      <c r="A19" t="s">
        <v>49</v>
      </c>
      <c r="B19" s="6">
        <v>2000000</v>
      </c>
      <c r="C19" s="3" t="s">
        <v>50</v>
      </c>
    </row>
    <row r="20" spans="1:3">
      <c r="A20" t="s">
        <v>51</v>
      </c>
      <c r="B20" s="6">
        <v>3400000</v>
      </c>
      <c r="C20" s="3" t="s">
        <v>52</v>
      </c>
    </row>
    <row r="21" spans="1:3">
      <c r="A21" t="s">
        <v>53</v>
      </c>
      <c r="B21" s="6">
        <v>501801</v>
      </c>
      <c r="C21" s="3" t="s">
        <v>54</v>
      </c>
    </row>
    <row r="22" spans="1:3">
      <c r="A22" t="s">
        <v>55</v>
      </c>
      <c r="B22" s="6">
        <f>STAFF_NOW*AVG_BASE_NOW*LOAD_FACTOR/12</f>
        <v>253866.66666666666</v>
      </c>
      <c r="C22" s="3" t="s">
        <v>56</v>
      </c>
    </row>
    <row r="24" spans="1:3">
      <c r="A24" s="3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I33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/>
  <cols>
    <col min="1" max="1" width="44.7109375" customWidth="1"/>
    <col min="2" max="2" width="9.7109375" customWidth="1"/>
    <col min="3" max="36" width="11.7109375" customWidth="1"/>
  </cols>
  <sheetData>
    <row r="1" spans="1:35">
      <c r="A1" s="1" t="s">
        <v>57</v>
      </c>
    </row>
    <row r="2" spans="1:35">
      <c r="A2" s="3" t="s">
        <v>58</v>
      </c>
    </row>
    <row r="4" spans="1:35">
      <c r="A4" s="4" t="s">
        <v>59</v>
      </c>
      <c r="B4" s="4" t="s">
        <v>60</v>
      </c>
      <c r="C4" s="8" t="s">
        <v>61</v>
      </c>
      <c r="D4" s="8" t="s">
        <v>63</v>
      </c>
      <c r="E4" s="8" t="s">
        <v>64</v>
      </c>
      <c r="F4" s="8" t="s">
        <v>65</v>
      </c>
      <c r="G4" s="8" t="s">
        <v>66</v>
      </c>
      <c r="H4" s="8" t="s">
        <v>67</v>
      </c>
      <c r="I4" s="8" t="s">
        <v>68</v>
      </c>
      <c r="J4" s="8" t="s">
        <v>69</v>
      </c>
      <c r="K4" s="8" t="s">
        <v>70</v>
      </c>
      <c r="L4" s="8" t="s">
        <v>71</v>
      </c>
      <c r="M4" s="8" t="s">
        <v>72</v>
      </c>
      <c r="N4" s="8" t="s">
        <v>73</v>
      </c>
      <c r="O4" s="8" t="s">
        <v>74</v>
      </c>
      <c r="P4" s="8" t="s">
        <v>75</v>
      </c>
      <c r="Q4" s="8" t="s">
        <v>76</v>
      </c>
      <c r="R4" s="8" t="s">
        <v>77</v>
      </c>
      <c r="S4" s="8" t="s">
        <v>78</v>
      </c>
      <c r="T4" s="8" t="s">
        <v>79</v>
      </c>
      <c r="U4" s="8" t="s">
        <v>80</v>
      </c>
      <c r="V4" s="8" t="s">
        <v>81</v>
      </c>
      <c r="W4" s="8" t="s">
        <v>82</v>
      </c>
      <c r="X4" s="8" t="s">
        <v>83</v>
      </c>
      <c r="Y4" s="8" t="s">
        <v>85</v>
      </c>
      <c r="Z4" s="8" t="s">
        <v>86</v>
      </c>
      <c r="AA4" s="8" t="s">
        <v>87</v>
      </c>
      <c r="AB4" s="8" t="s">
        <v>88</v>
      </c>
      <c r="AC4" s="8" t="s">
        <v>89</v>
      </c>
      <c r="AD4" s="8" t="s">
        <v>90</v>
      </c>
      <c r="AE4" s="8" t="s">
        <v>91</v>
      </c>
      <c r="AF4" s="8" t="s">
        <v>92</v>
      </c>
      <c r="AG4" s="8" t="s">
        <v>93</v>
      </c>
      <c r="AH4" s="8" t="s">
        <v>94</v>
      </c>
      <c r="AI4" s="8" t="s">
        <v>95</v>
      </c>
    </row>
    <row r="5" spans="1:35">
      <c r="A5" s="4"/>
      <c r="B5" s="4"/>
      <c r="C5" s="8" t="s">
        <v>62</v>
      </c>
      <c r="D5" s="8" t="s">
        <v>62</v>
      </c>
      <c r="E5" s="8" t="s">
        <v>62</v>
      </c>
      <c r="F5" s="8" t="s">
        <v>62</v>
      </c>
      <c r="G5" s="8" t="s">
        <v>62</v>
      </c>
      <c r="H5" s="8" t="s">
        <v>62</v>
      </c>
      <c r="I5" s="8" t="s">
        <v>62</v>
      </c>
      <c r="J5" s="8" t="s">
        <v>62</v>
      </c>
      <c r="K5" s="8" t="s">
        <v>62</v>
      </c>
      <c r="L5" s="8" t="s">
        <v>62</v>
      </c>
      <c r="M5" s="8" t="s">
        <v>62</v>
      </c>
      <c r="N5" s="8" t="s">
        <v>62</v>
      </c>
      <c r="O5" s="8" t="s">
        <v>62</v>
      </c>
      <c r="P5" s="8" t="s">
        <v>62</v>
      </c>
      <c r="Q5" s="8" t="s">
        <v>62</v>
      </c>
      <c r="R5" s="8" t="s">
        <v>62</v>
      </c>
      <c r="S5" s="8" t="s">
        <v>62</v>
      </c>
      <c r="T5" s="8" t="s">
        <v>62</v>
      </c>
      <c r="U5" s="8" t="s">
        <v>62</v>
      </c>
      <c r="V5" s="8" t="s">
        <v>62</v>
      </c>
      <c r="W5" s="8" t="s">
        <v>62</v>
      </c>
      <c r="X5" s="8" t="s">
        <v>84</v>
      </c>
      <c r="Y5" s="8" t="s">
        <v>84</v>
      </c>
      <c r="Z5" s="8" t="s">
        <v>84</v>
      </c>
      <c r="AA5" s="8" t="s">
        <v>84</v>
      </c>
      <c r="AB5" s="8" t="s">
        <v>84</v>
      </c>
      <c r="AC5" s="8" t="s">
        <v>84</v>
      </c>
      <c r="AD5" s="8" t="s">
        <v>84</v>
      </c>
      <c r="AE5" s="8" t="s">
        <v>84</v>
      </c>
      <c r="AF5" s="8" t="s">
        <v>84</v>
      </c>
      <c r="AG5" s="8" t="s">
        <v>84</v>
      </c>
      <c r="AH5" s="8" t="s">
        <v>84</v>
      </c>
      <c r="AI5" s="8" t="s">
        <v>84</v>
      </c>
    </row>
    <row r="6" spans="1:35">
      <c r="A6" s="9" t="s">
        <v>96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</row>
    <row r="7" spans="1:35">
      <c r="A7" t="s">
        <v>97</v>
      </c>
      <c r="B7" t="s">
        <v>96</v>
      </c>
      <c r="C7" s="10">
        <v>2651</v>
      </c>
      <c r="D7" s="10">
        <v>6828</v>
      </c>
      <c r="E7" s="10">
        <v>10024</v>
      </c>
      <c r="F7" s="10">
        <v>12366</v>
      </c>
      <c r="G7" s="10">
        <v>16059</v>
      </c>
      <c r="H7" s="10">
        <v>19462</v>
      </c>
      <c r="I7" s="10">
        <v>23092</v>
      </c>
      <c r="J7" s="10">
        <v>28610</v>
      </c>
      <c r="K7" s="10">
        <v>34539</v>
      </c>
      <c r="L7" s="10">
        <v>40585</v>
      </c>
      <c r="M7" s="10">
        <v>65867</v>
      </c>
      <c r="N7" s="10">
        <v>72656</v>
      </c>
      <c r="O7" s="10">
        <v>77134</v>
      </c>
      <c r="P7" s="10">
        <v>85778</v>
      </c>
      <c r="Q7" s="10">
        <v>95824</v>
      </c>
      <c r="R7" s="10">
        <v>122664</v>
      </c>
      <c r="S7" s="10">
        <v>133652</v>
      </c>
      <c r="T7" s="10">
        <v>142497</v>
      </c>
      <c r="U7" s="10">
        <v>149831</v>
      </c>
      <c r="V7" s="10">
        <v>160971</v>
      </c>
      <c r="W7" s="10">
        <v>171739</v>
      </c>
    </row>
    <row r="8" spans="1:35">
      <c r="A8" t="s">
        <v>98</v>
      </c>
      <c r="B8" t="s">
        <v>96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15000</v>
      </c>
      <c r="W8" s="10">
        <v>15000</v>
      </c>
    </row>
    <row r="9" spans="1:35">
      <c r="A9" t="s">
        <v>99</v>
      </c>
      <c r="B9" t="s">
        <v>96</v>
      </c>
      <c r="C9" s="10">
        <v>2500</v>
      </c>
      <c r="D9" s="10">
        <v>3000</v>
      </c>
      <c r="E9" s="10">
        <v>3000</v>
      </c>
      <c r="F9" s="10">
        <v>3500</v>
      </c>
      <c r="G9" s="10">
        <v>3500</v>
      </c>
      <c r="H9" s="10">
        <v>3500</v>
      </c>
      <c r="I9" s="10">
        <v>4500</v>
      </c>
      <c r="J9" s="10">
        <v>5000</v>
      </c>
      <c r="K9" s="10">
        <v>5500</v>
      </c>
      <c r="L9" s="10">
        <v>6500</v>
      </c>
      <c r="M9" s="10">
        <v>7000</v>
      </c>
      <c r="N9" s="10">
        <v>6500</v>
      </c>
      <c r="O9" s="10">
        <v>6000</v>
      </c>
      <c r="P9" s="10">
        <v>7500</v>
      </c>
      <c r="Q9" s="10">
        <v>7000</v>
      </c>
      <c r="R9" s="10">
        <v>7000</v>
      </c>
      <c r="S9" s="10">
        <v>7500</v>
      </c>
      <c r="T9" s="10">
        <v>8000</v>
      </c>
      <c r="U9" s="10">
        <v>9000</v>
      </c>
      <c r="V9" s="10">
        <v>9500</v>
      </c>
      <c r="W9" s="10">
        <v>9500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</row>
    <row r="10" spans="1:35">
      <c r="A10" t="s">
        <v>100</v>
      </c>
      <c r="B10" t="s">
        <v>96</v>
      </c>
      <c r="C10" s="10">
        <f>C7</f>
        <v>2651</v>
      </c>
      <c r="D10" s="10">
        <f>D7</f>
        <v>6828</v>
      </c>
      <c r="E10" s="10">
        <f>E7</f>
        <v>10024</v>
      </c>
      <c r="F10" s="10">
        <f>F7</f>
        <v>12366</v>
      </c>
      <c r="G10" s="10">
        <f>G7</f>
        <v>16059</v>
      </c>
      <c r="H10" s="10">
        <f>H7</f>
        <v>19462</v>
      </c>
      <c r="I10" s="10">
        <f>I7</f>
        <v>23092</v>
      </c>
      <c r="J10" s="10">
        <f>J7</f>
        <v>28610</v>
      </c>
      <c r="K10" s="10">
        <f>K7</f>
        <v>34539</v>
      </c>
      <c r="L10" s="10">
        <f>L7</f>
        <v>40585</v>
      </c>
      <c r="M10" s="10">
        <f>M7</f>
        <v>65867</v>
      </c>
      <c r="N10" s="10">
        <f>N7</f>
        <v>72656</v>
      </c>
      <c r="O10" s="10">
        <f>O7</f>
        <v>77134</v>
      </c>
      <c r="P10" s="10">
        <f>P7</f>
        <v>85778</v>
      </c>
      <c r="Q10" s="10">
        <f>Q7</f>
        <v>95824</v>
      </c>
      <c r="R10" s="10">
        <f>R7</f>
        <v>122664</v>
      </c>
      <c r="S10" s="10">
        <f>S7</f>
        <v>133652</v>
      </c>
      <c r="T10" s="10">
        <f>T7</f>
        <v>142497</v>
      </c>
      <c r="U10" s="10">
        <f>U7</f>
        <v>149831</v>
      </c>
      <c r="V10" s="10">
        <f>V7</f>
        <v>160971</v>
      </c>
      <c r="W10" s="10">
        <f>W7</f>
        <v>171739</v>
      </c>
      <c r="X10" s="10">
        <v>177749.865</v>
      </c>
      <c r="Y10" s="10">
        <v>183971.110275</v>
      </c>
      <c r="Z10" s="10">
        <v>190410.099134625</v>
      </c>
      <c r="AA10" s="10">
        <v>197074.4526043368</v>
      </c>
      <c r="AB10" s="10">
        <v>203972.0584454886</v>
      </c>
      <c r="AC10" s="10">
        <v>211111.0804910806</v>
      </c>
      <c r="AD10" s="10">
        <v>218499.9683082685</v>
      </c>
      <c r="AE10" s="10">
        <v>226147.4671990578</v>
      </c>
      <c r="AF10" s="10">
        <v>234062.6285510248</v>
      </c>
      <c r="AG10" s="10">
        <v>242254.8205503107</v>
      </c>
      <c r="AH10" s="10">
        <v>250733.7392695716</v>
      </c>
      <c r="AI10" s="10">
        <v>259509.4201440066</v>
      </c>
    </row>
    <row r="11" spans="1:35">
      <c r="A11" t="s">
        <v>101</v>
      </c>
      <c r="B11" t="s">
        <v>96</v>
      </c>
      <c r="C11" s="10">
        <f>C10+C8+C9</f>
        <v>5151</v>
      </c>
      <c r="D11" s="10">
        <f>D10+D8+D9</f>
        <v>9828</v>
      </c>
      <c r="E11" s="10">
        <f>E10+E8+E9</f>
        <v>13024</v>
      </c>
      <c r="F11" s="10">
        <f>F10+F8+F9</f>
        <v>15866</v>
      </c>
      <c r="G11" s="10">
        <f>G10+G8+G9</f>
        <v>19559</v>
      </c>
      <c r="H11" s="10">
        <f>H10+H8+H9</f>
        <v>22962</v>
      </c>
      <c r="I11" s="10">
        <f>I10+I8+I9</f>
        <v>27592</v>
      </c>
      <c r="J11" s="10">
        <f>J10+J8+J9</f>
        <v>33610</v>
      </c>
      <c r="K11" s="10">
        <f>K10+K8+K9</f>
        <v>40039</v>
      </c>
      <c r="L11" s="10">
        <f>L10+L8+L9</f>
        <v>47085</v>
      </c>
      <c r="M11" s="10">
        <f>M10+M8+M9</f>
        <v>72867</v>
      </c>
      <c r="N11" s="10">
        <f>N10+N8+N9</f>
        <v>79156</v>
      </c>
      <c r="O11" s="10">
        <f>O10+O8+O9</f>
        <v>83134</v>
      </c>
      <c r="P11" s="10">
        <f>P10+P8+P9</f>
        <v>93278</v>
      </c>
      <c r="Q11" s="10">
        <f>Q10+Q8+Q9</f>
        <v>102824</v>
      </c>
      <c r="R11" s="10">
        <f>R10+R8+R9</f>
        <v>129664</v>
      </c>
      <c r="S11" s="10">
        <f>S10+S8+S9</f>
        <v>141152</v>
      </c>
      <c r="T11" s="10">
        <f>T10+T8+T9</f>
        <v>150497</v>
      </c>
      <c r="U11" s="10">
        <f>U10+U8+U9</f>
        <v>158831</v>
      </c>
      <c r="V11" s="10">
        <f>V10+V8+V9</f>
        <v>185471</v>
      </c>
      <c r="W11" s="10">
        <f>W10+W8+W9</f>
        <v>196239</v>
      </c>
      <c r="X11" s="10">
        <f>X10+X8+X9</f>
        <v>177749.865</v>
      </c>
      <c r="Y11" s="10">
        <f>Y10+Y8+Y9</f>
        <v>183971.11027499998</v>
      </c>
      <c r="Z11" s="10">
        <f>Z10+Z8+Z9</f>
        <v>190410.09913462496</v>
      </c>
      <c r="AA11" s="10">
        <f>AA10+AA8+AA9</f>
        <v>197074.4526043368</v>
      </c>
      <c r="AB11" s="10">
        <f>AB10+AB8+AB9</f>
        <v>203972.05844548857</v>
      </c>
      <c r="AC11" s="10">
        <f>AC10+AC8+AC9</f>
        <v>211111.08049108065</v>
      </c>
      <c r="AD11" s="10">
        <f>AD10+AD8+AD9</f>
        <v>218499.96830826846</v>
      </c>
      <c r="AE11" s="10">
        <f>AE10+AE8+AE9</f>
        <v>226147.46719905784</v>
      </c>
      <c r="AF11" s="10">
        <f>AF10+AF8+AF9</f>
        <v>234062.62855102483</v>
      </c>
      <c r="AG11" s="10">
        <f>AG10+AG8+AG9</f>
        <v>242254.8205503107</v>
      </c>
      <c r="AH11" s="10">
        <f>AH10+AH8+AH9</f>
        <v>250733.73926957155</v>
      </c>
      <c r="AI11" s="10">
        <f>AI10+AI8+AI9</f>
        <v>259509.42014400655</v>
      </c>
    </row>
    <row r="12" spans="1:35">
      <c r="A12" s="9" t="s">
        <v>102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</row>
    <row r="13" spans="1:35">
      <c r="A13" t="s">
        <v>103</v>
      </c>
      <c r="B13" t="s">
        <v>104</v>
      </c>
      <c r="C13" s="10">
        <v>435.7</v>
      </c>
      <c r="D13" s="10">
        <v>1136.51</v>
      </c>
      <c r="E13" s="10">
        <v>1635.42</v>
      </c>
      <c r="F13" s="10">
        <v>1921.19</v>
      </c>
      <c r="G13" s="10">
        <v>2597.46</v>
      </c>
      <c r="H13" s="10">
        <v>3146.04</v>
      </c>
      <c r="I13" s="10">
        <v>3815.97</v>
      </c>
      <c r="J13" s="10">
        <v>4513.24</v>
      </c>
      <c r="K13" s="10">
        <v>5442.28</v>
      </c>
      <c r="L13" s="10">
        <v>6522.2</v>
      </c>
      <c r="M13" s="10">
        <v>10085.63</v>
      </c>
      <c r="N13" s="10">
        <v>11562.23</v>
      </c>
      <c r="O13" s="10">
        <v>11550.18</v>
      </c>
      <c r="P13" s="10">
        <v>13419.25</v>
      </c>
      <c r="Q13" s="10">
        <v>14895.05</v>
      </c>
      <c r="R13" s="10">
        <v>18999.36</v>
      </c>
      <c r="S13" s="10">
        <v>20335.17</v>
      </c>
      <c r="T13" s="10">
        <v>22105.48</v>
      </c>
      <c r="U13" s="10">
        <v>22876.86</v>
      </c>
      <c r="V13" s="10">
        <v>23738.51</v>
      </c>
      <c r="W13" s="10">
        <v>26025.44</v>
      </c>
      <c r="X13" s="10">
        <v>26662.47975</v>
      </c>
      <c r="Y13" s="10">
        <v>27595.66654125</v>
      </c>
      <c r="Z13" s="10">
        <v>28561.51487019374</v>
      </c>
      <c r="AA13" s="10">
        <v>29561.16789065052</v>
      </c>
      <c r="AB13" s="10">
        <v>30595.80876682328</v>
      </c>
      <c r="AC13" s="10">
        <v>31666.6620736621</v>
      </c>
      <c r="AD13" s="10">
        <v>32774.99524624027</v>
      </c>
      <c r="AE13" s="10">
        <v>33922.12007985867</v>
      </c>
      <c r="AF13" s="10">
        <v>35109.39428265372</v>
      </c>
      <c r="AG13" s="10">
        <v>36338.2230825466</v>
      </c>
      <c r="AH13" s="10">
        <v>37610.06089043573</v>
      </c>
      <c r="AI13" s="10">
        <v>38926.41302160098</v>
      </c>
    </row>
    <row r="14" spans="1:35">
      <c r="A14" t="s">
        <v>105</v>
      </c>
      <c r="B14" t="s">
        <v>104</v>
      </c>
      <c r="C14" s="10">
        <v>148.48</v>
      </c>
      <c r="D14" s="10">
        <v>385.03</v>
      </c>
      <c r="E14" s="10">
        <v>648.38</v>
      </c>
      <c r="F14" s="10">
        <v>701.91</v>
      </c>
      <c r="G14" s="10">
        <v>939.74</v>
      </c>
      <c r="H14" s="10">
        <v>1140.98</v>
      </c>
      <c r="I14" s="10">
        <v>1312.02</v>
      </c>
      <c r="J14" s="10">
        <v>1637.24</v>
      </c>
      <c r="K14" s="10">
        <v>1813.47</v>
      </c>
      <c r="L14" s="10">
        <v>2216.35</v>
      </c>
      <c r="M14" s="10">
        <v>3157.99</v>
      </c>
      <c r="N14" s="10">
        <v>3843.81</v>
      </c>
      <c r="O14" s="10">
        <v>3935.01</v>
      </c>
      <c r="P14" s="10">
        <v>5224.99</v>
      </c>
      <c r="Q14" s="10">
        <v>5048.01</v>
      </c>
      <c r="R14" s="10">
        <v>6532.87</v>
      </c>
      <c r="S14" s="10">
        <v>6877.81</v>
      </c>
      <c r="T14" s="10">
        <v>7126.35</v>
      </c>
      <c r="U14" s="10">
        <v>7054.51</v>
      </c>
      <c r="V14" s="10">
        <v>8133.58</v>
      </c>
      <c r="W14" s="10">
        <v>8322.360000000001</v>
      </c>
      <c r="X14" s="10">
        <v>8887.49325</v>
      </c>
      <c r="Y14" s="10">
        <v>9198.55551375</v>
      </c>
      <c r="Z14" s="10">
        <v>9520.504956731249</v>
      </c>
      <c r="AA14" s="10">
        <v>9853.722630216842</v>
      </c>
      <c r="AB14" s="10">
        <v>10198.60292227443</v>
      </c>
      <c r="AC14" s="10">
        <v>10555.55402455403</v>
      </c>
      <c r="AD14" s="10">
        <v>10924.99841541342</v>
      </c>
      <c r="AE14" s="10">
        <v>11307.37335995289</v>
      </c>
      <c r="AF14" s="10">
        <v>11703.13142755124</v>
      </c>
      <c r="AG14" s="10">
        <v>12112.74102751553</v>
      </c>
      <c r="AH14" s="10">
        <v>12536.68696347858</v>
      </c>
      <c r="AI14" s="10">
        <v>12975.47100720033</v>
      </c>
    </row>
    <row r="15" spans="1:35">
      <c r="A15" t="s">
        <v>106</v>
      </c>
      <c r="B15" t="s">
        <v>104</v>
      </c>
      <c r="C15" s="10">
        <v>384.59</v>
      </c>
      <c r="D15" s="10">
        <v>889.04</v>
      </c>
      <c r="E15" s="10">
        <v>1471.02</v>
      </c>
      <c r="F15" s="10">
        <v>1673.15</v>
      </c>
      <c r="G15" s="10">
        <v>1989.73</v>
      </c>
      <c r="H15" s="10">
        <v>2387.55</v>
      </c>
      <c r="I15" s="10">
        <v>2969.36</v>
      </c>
      <c r="J15" s="10">
        <v>3587.41</v>
      </c>
      <c r="K15" s="10">
        <v>4351.33</v>
      </c>
      <c r="L15" s="10">
        <v>5283.21</v>
      </c>
      <c r="M15" s="10">
        <v>8135.71</v>
      </c>
      <c r="N15" s="10">
        <v>9216.5</v>
      </c>
      <c r="O15" s="10">
        <v>9565.969999999999</v>
      </c>
      <c r="P15" s="10">
        <v>10374.25</v>
      </c>
      <c r="Q15" s="10">
        <v>11323.71</v>
      </c>
      <c r="R15" s="10">
        <v>13828.95</v>
      </c>
      <c r="S15" s="10">
        <v>14870.87</v>
      </c>
      <c r="T15" s="10">
        <v>16089.51</v>
      </c>
      <c r="U15" s="10">
        <v>17347.66</v>
      </c>
      <c r="V15" s="10">
        <v>18052</v>
      </c>
      <c r="W15" s="10">
        <v>18891.29</v>
      </c>
      <c r="X15" s="10">
        <v>18891.29</v>
      </c>
      <c r="Y15" s="10">
        <v>18891.29</v>
      </c>
      <c r="Z15" s="10">
        <v>18891.29</v>
      </c>
      <c r="AA15" s="10">
        <v>18891.29</v>
      </c>
      <c r="AB15" s="10">
        <v>18891.29</v>
      </c>
      <c r="AC15" s="10">
        <v>18891.29</v>
      </c>
      <c r="AD15" s="10">
        <v>18891.29</v>
      </c>
      <c r="AE15" s="10">
        <v>18891.29</v>
      </c>
      <c r="AF15" s="10">
        <v>18891.29</v>
      </c>
      <c r="AG15" s="10">
        <v>18891.29</v>
      </c>
      <c r="AH15" s="10">
        <v>18891.29</v>
      </c>
      <c r="AI15" s="10">
        <v>18891.29</v>
      </c>
    </row>
    <row r="16" spans="1:35">
      <c r="A16" t="s">
        <v>107</v>
      </c>
      <c r="B16" t="s">
        <v>104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9692.92</v>
      </c>
      <c r="J16" s="10">
        <v>9821.189999999999</v>
      </c>
      <c r="K16" s="10">
        <v>9568.060000000001</v>
      </c>
      <c r="L16" s="10">
        <v>9594.24</v>
      </c>
      <c r="M16" s="10">
        <v>9830.01</v>
      </c>
      <c r="N16" s="10">
        <v>9581.09</v>
      </c>
      <c r="O16" s="10">
        <v>10023.15</v>
      </c>
      <c r="P16" s="10">
        <v>10078.63</v>
      </c>
      <c r="Q16" s="10">
        <v>20475.78</v>
      </c>
      <c r="R16" s="10">
        <v>20085.22</v>
      </c>
      <c r="S16" s="10">
        <v>20326.91</v>
      </c>
      <c r="T16" s="10">
        <v>20211.2</v>
      </c>
      <c r="U16" s="10">
        <v>20754.39</v>
      </c>
      <c r="V16" s="10">
        <v>20137</v>
      </c>
      <c r="W16" s="10">
        <v>20266.67</v>
      </c>
      <c r="X16" s="10">
        <v>20266.66666666667</v>
      </c>
      <c r="Y16" s="10">
        <v>20266.66666666667</v>
      </c>
      <c r="Z16" s="10">
        <v>20266.66666666667</v>
      </c>
      <c r="AA16" s="10">
        <v>32960</v>
      </c>
      <c r="AB16" s="10">
        <v>32960</v>
      </c>
      <c r="AC16" s="10">
        <v>47413.33333333334</v>
      </c>
      <c r="AD16" s="10">
        <v>47413.33333333334</v>
      </c>
      <c r="AE16" s="10">
        <v>47413.33333333334</v>
      </c>
      <c r="AF16" s="10">
        <v>47413.33333333334</v>
      </c>
      <c r="AG16" s="10">
        <v>47413.33333333334</v>
      </c>
      <c r="AH16" s="10">
        <v>63573.33333333334</v>
      </c>
      <c r="AI16" s="10">
        <v>63573.33333333334</v>
      </c>
    </row>
    <row r="17" spans="1:35">
      <c r="A17" t="s">
        <v>108</v>
      </c>
      <c r="B17" t="s">
        <v>104</v>
      </c>
      <c r="C17" s="10">
        <f>C13+C14+C15+C16</f>
        <v>968.77</v>
      </c>
      <c r="D17" s="10">
        <f>D13+D14+D15+D16</f>
        <v>2410.58</v>
      </c>
      <c r="E17" s="10">
        <f>E13+E14+E15+E16</f>
        <v>3754.82</v>
      </c>
      <c r="F17" s="10">
        <f>F13+F14+F15+F16</f>
        <v>4296.25</v>
      </c>
      <c r="G17" s="10">
        <f>G13+G14+G15+G16</f>
        <v>5526.93</v>
      </c>
      <c r="H17" s="10">
        <f>H13+H14+H15+H16</f>
        <v>6674.57</v>
      </c>
      <c r="I17" s="10">
        <f>I13+I14+I15+I16</f>
        <v>17790.27</v>
      </c>
      <c r="J17" s="10">
        <f>J13+J14+J15+J16</f>
        <v>19559.079999999998</v>
      </c>
      <c r="K17" s="10">
        <f>K13+K14+K15+K16</f>
        <v>21175.14</v>
      </c>
      <c r="L17" s="10">
        <f>L13+L14+L15+L16</f>
        <v>23616.0</v>
      </c>
      <c r="M17" s="10">
        <f>M13+M14+M15+M16</f>
        <v>31209.34</v>
      </c>
      <c r="N17" s="10">
        <f>N13+N14+N15+N16</f>
        <v>34203.63</v>
      </c>
      <c r="O17" s="10">
        <f>O13+O14+O15+O16</f>
        <v>35074.31</v>
      </c>
      <c r="P17" s="10">
        <f>P13+P14+P15+P16</f>
        <v>39097.12</v>
      </c>
      <c r="Q17" s="10">
        <f>Q13+Q14+Q15+Q16</f>
        <v>51742.549999999996</v>
      </c>
      <c r="R17" s="10">
        <f>R13+R14+R15+R16</f>
        <v>59446.4</v>
      </c>
      <c r="S17" s="10">
        <f>S13+S14+S15+S16</f>
        <v>62410.76</v>
      </c>
      <c r="T17" s="10">
        <f>T13+T14+T15+T16</f>
        <v>65532.54</v>
      </c>
      <c r="U17" s="10">
        <f>U13+U14+U15+U16</f>
        <v>68033.42</v>
      </c>
      <c r="V17" s="10">
        <f>V13+V14+V15+V16</f>
        <v>70061.09</v>
      </c>
      <c r="W17" s="10">
        <f>W13+W14+W15+W16</f>
        <v>73505.76</v>
      </c>
      <c r="X17" s="10">
        <f>X13+X14+X15+X16</f>
        <v>74707.92966666666</v>
      </c>
      <c r="Y17" s="10">
        <f>Y13+Y14+Y15+Y16</f>
        <v>75952.17872166667</v>
      </c>
      <c r="Z17" s="10">
        <f>Z13+Z14+Z15+Z16</f>
        <v>77239.97649359166</v>
      </c>
      <c r="AA17" s="10">
        <f>AA13+AA14+AA15+AA16</f>
        <v>91266.18052086736</v>
      </c>
      <c r="AB17" s="10">
        <f>AB13+AB14+AB15+AB16</f>
        <v>92645.70168909771</v>
      </c>
      <c r="AC17" s="10">
        <f>AC13+AC14+AC15+AC16</f>
        <v>108526.83943154947</v>
      </c>
      <c r="AD17" s="10">
        <f>AD13+AD14+AD15+AD16</f>
        <v>110004.61699498702</v>
      </c>
      <c r="AE17" s="10">
        <f>AE13+AE14+AE15+AE16</f>
        <v>111534.1167731449</v>
      </c>
      <c r="AF17" s="10">
        <f>AF13+AF14+AF15+AF16</f>
        <v>113117.1490435383</v>
      </c>
      <c r="AG17" s="10">
        <f>AG13+AG14+AG15+AG16</f>
        <v>114755.58744339547</v>
      </c>
      <c r="AH17" s="10">
        <f>AH13+AH14+AH15+AH16</f>
        <v>132611.37118724766</v>
      </c>
      <c r="AI17" s="10">
        <f>AI13+AI14+AI15+AI16</f>
        <v>134366.50736213464</v>
      </c>
    </row>
    <row r="18" spans="1:35">
      <c r="A18" t="s">
        <v>109</v>
      </c>
      <c r="C18" s="11">
        <f>C10-C17</f>
        <v>1682.23</v>
      </c>
      <c r="D18" s="11">
        <f>D10-D17</f>
        <v>4417.42</v>
      </c>
      <c r="E18" s="11">
        <f>E10-E17</f>
        <v>6269.18</v>
      </c>
      <c r="F18" s="11">
        <f>F10-F17</f>
        <v>8069.75</v>
      </c>
      <c r="G18" s="11">
        <f>G10-G17</f>
        <v>10532.07</v>
      </c>
      <c r="H18" s="11">
        <f>H10-H17</f>
        <v>12787.43</v>
      </c>
      <c r="I18" s="11">
        <f>I10-I17</f>
        <v>5301.73</v>
      </c>
      <c r="J18" s="11">
        <f>J10-J17</f>
        <v>9050.920000000002</v>
      </c>
      <c r="K18" s="11">
        <f>K10-K17</f>
        <v>13363.86</v>
      </c>
      <c r="L18" s="11">
        <f>L10-L17</f>
        <v>16969.0</v>
      </c>
      <c r="M18" s="11">
        <f>M10-M17</f>
        <v>34657.66</v>
      </c>
      <c r="N18" s="11">
        <f>N10-N17</f>
        <v>38452.37</v>
      </c>
      <c r="O18" s="11">
        <f>O10-O17</f>
        <v>42059.69</v>
      </c>
      <c r="P18" s="11">
        <f>P10-P17</f>
        <v>46680.88</v>
      </c>
      <c r="Q18" s="11">
        <f>Q10-Q17</f>
        <v>44081.450000000004</v>
      </c>
      <c r="R18" s="11">
        <f>R10-R17</f>
        <v>63217.6</v>
      </c>
      <c r="S18" s="11">
        <f>S10-S17</f>
        <v>71241.23999999999</v>
      </c>
      <c r="T18" s="11">
        <f>T10-T17</f>
        <v>76964.45999999999</v>
      </c>
      <c r="U18" s="11">
        <f>U10-U17</f>
        <v>81797.58</v>
      </c>
      <c r="V18" s="11">
        <f>V10-V17</f>
        <v>90909.91</v>
      </c>
      <c r="W18" s="11">
        <f>W10-W17</f>
        <v>98233.24</v>
      </c>
      <c r="X18" s="11">
        <f>X10-X17</f>
        <v>103041.93533333333</v>
      </c>
      <c r="Y18" s="11">
        <f>Y10-Y17</f>
        <v>108018.93155333331</v>
      </c>
      <c r="Z18" s="11">
        <f>Z10-Z17</f>
        <v>113170.1226410333</v>
      </c>
      <c r="AA18" s="11">
        <f>AA10-AA17</f>
        <v>105808.27208346945</v>
      </c>
      <c r="AB18" s="11">
        <f>AB10-AB17</f>
        <v>111326.35675639086</v>
      </c>
      <c r="AC18" s="11">
        <f>AC10-AC17</f>
        <v>102584.24105953118</v>
      </c>
      <c r="AD18" s="11">
        <f>AD10-AD17</f>
        <v>108495.35131328144</v>
      </c>
      <c r="AE18" s="11">
        <f>AE10-AE17</f>
        <v>114613.35042591294</v>
      </c>
      <c r="AF18" s="11">
        <f>AF10-AF17</f>
        <v>120945.47950748653</v>
      </c>
      <c r="AG18" s="11">
        <f>AG10-AG17</f>
        <v>127499.23310691521</v>
      </c>
      <c r="AH18" s="11">
        <f>AH10-AH17</f>
        <v>118122.3680823239</v>
      </c>
      <c r="AI18" s="11">
        <f>AI10-AI17</f>
        <v>125142.91278187191</v>
      </c>
    </row>
    <row r="19" spans="1:35">
      <c r="A19" t="s">
        <v>110</v>
      </c>
      <c r="C19" s="12">
        <f>C18/C10</f>
        <v>0.6345643153526971</v>
      </c>
      <c r="D19" s="12">
        <f>D18/D10</f>
        <v>0.6469566490919743</v>
      </c>
      <c r="E19" s="12">
        <f>E18/E10</f>
        <v>0.6254169992019154</v>
      </c>
      <c r="F19" s="12">
        <f>F18/F10</f>
        <v>0.6525756105450429</v>
      </c>
      <c r="G19" s="12">
        <f>G18/G10</f>
        <v>0.6558359798243976</v>
      </c>
      <c r="H19" s="12">
        <f>H18/H10</f>
        <v>0.6570460384338711</v>
      </c>
      <c r="I19" s="12">
        <f>I18/I10</f>
        <v>0.22959163346613545</v>
      </c>
      <c r="J19" s="12">
        <f>J18/J10</f>
        <v>0.31635512058720733</v>
      </c>
      <c r="K19" s="12">
        <f>K18/K10</f>
        <v>0.38692087205767395</v>
      </c>
      <c r="L19" s="12">
        <f>L18/L10</f>
        <v>0.4181101392139953</v>
      </c>
      <c r="M19" s="12">
        <f>M18/M10</f>
        <v>0.5261763857470357</v>
      </c>
      <c r="N19" s="12">
        <f>N18/N10</f>
        <v>0.5292387414666373</v>
      </c>
      <c r="O19" s="12">
        <f>O18/O10</f>
        <v>0.5452808100189281</v>
      </c>
      <c r="P19" s="12">
        <f>P18/P10</f>
        <v>0.5442057403996362</v>
      </c>
      <c r="Q19" s="12">
        <f>Q18/Q10</f>
        <v>0.4600251502755051</v>
      </c>
      <c r="R19" s="12">
        <f>R18/R10</f>
        <v>0.5153720733059414</v>
      </c>
      <c r="S19" s="12">
        <f>S18/S10</f>
        <v>0.5330353455241971</v>
      </c>
      <c r="T19" s="12">
        <f>T18/T10</f>
        <v>0.5401128444809364</v>
      </c>
      <c r="U19" s="12">
        <f>U18/U10</f>
        <v>0.5459322837063091</v>
      </c>
      <c r="V19" s="12">
        <f>V18/V10</f>
        <v>0.5647595529629561</v>
      </c>
      <c r="W19" s="12">
        <f>W18/W10</f>
        <v>0.5719914521454067</v>
      </c>
      <c r="X19" s="12">
        <f>X18/X10</f>
        <v>0.5797019048837722</v>
      </c>
      <c r="Y19" s="12">
        <f>Y18/Y10</f>
        <v>0.5871515989215189</v>
      </c>
      <c r="Z19" s="12">
        <f>Z18/Z10</f>
        <v>0.5943493709386656</v>
      </c>
      <c r="AA19" s="12">
        <f>AA18/AA10</f>
        <v>0.5368949180637786</v>
      </c>
      <c r="AB19" s="12">
        <f>AB18/AB10</f>
        <v>0.5457921913659697</v>
      </c>
      <c r="AC19" s="12">
        <f>AC18/AC10</f>
        <v>0.48592542286696944</v>
      </c>
      <c r="AD19" s="12">
        <f>AD18/AD10</f>
        <v>0.496546302286927</v>
      </c>
      <c r="AE19" s="12">
        <f>AE18/AE10</f>
        <v>0.5068080215332628</v>
      </c>
      <c r="AF19" s="12">
        <f>AF18/AF10</f>
        <v>0.5167227261190944</v>
      </c>
      <c r="AG19" s="12">
        <f>AG18/AG10</f>
        <v>0.5263021508397047</v>
      </c>
      <c r="AH19" s="12">
        <f>AH18/AH10</f>
        <v>0.4711067941092958</v>
      </c>
      <c r="AI19" s="12">
        <f>AI18/AI10</f>
        <v>0.4822287865790298</v>
      </c>
    </row>
    <row r="20" spans="1:35">
      <c r="A20" s="9" t="s">
        <v>111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</row>
    <row r="21" spans="1:35">
      <c r="A21" t="s">
        <v>112</v>
      </c>
      <c r="B21" t="s">
        <v>113</v>
      </c>
      <c r="C21" s="10">
        <v>31186.59</v>
      </c>
      <c r="D21" s="10">
        <v>46627.52</v>
      </c>
      <c r="E21" s="10">
        <v>46538.95</v>
      </c>
      <c r="F21" s="10">
        <v>47695.48</v>
      </c>
      <c r="G21" s="10">
        <v>65151.44</v>
      </c>
      <c r="H21" s="10">
        <v>64853.75</v>
      </c>
      <c r="I21" s="10">
        <v>63121.10000000001</v>
      </c>
      <c r="J21" s="10">
        <v>62974.97</v>
      </c>
      <c r="K21" s="10">
        <v>63289.46</v>
      </c>
      <c r="L21" s="10">
        <v>78382.33</v>
      </c>
      <c r="M21" s="10">
        <v>81073.95999999999</v>
      </c>
      <c r="N21" s="10">
        <v>81059.22</v>
      </c>
      <c r="O21" s="10">
        <v>99412.06</v>
      </c>
      <c r="P21" s="10">
        <v>99699.81</v>
      </c>
      <c r="Q21" s="10">
        <v>96893.14999999999</v>
      </c>
      <c r="R21" s="10">
        <v>99024.84</v>
      </c>
      <c r="S21" s="10">
        <v>98478.56</v>
      </c>
      <c r="T21" s="10">
        <v>115147.66</v>
      </c>
      <c r="U21" s="10">
        <v>113937.76</v>
      </c>
      <c r="V21" s="10">
        <v>115946.68</v>
      </c>
      <c r="W21" s="10">
        <v>115733.33</v>
      </c>
      <c r="X21" s="10">
        <v>136106.6666666667</v>
      </c>
      <c r="Y21" s="10">
        <v>156266.6666666667</v>
      </c>
      <c r="Z21" s="10">
        <v>174773.3333333333</v>
      </c>
      <c r="AA21" s="10">
        <v>174773.3333333333</v>
      </c>
      <c r="AB21" s="10">
        <v>193866.6666666667</v>
      </c>
      <c r="AC21" s="10">
        <v>214613.3333333333</v>
      </c>
      <c r="AD21" s="10">
        <v>232800</v>
      </c>
      <c r="AE21" s="10">
        <v>254453.3333333333</v>
      </c>
      <c r="AF21" s="10">
        <v>274506.6666666666</v>
      </c>
      <c r="AG21" s="10">
        <v>290986.6666666666</v>
      </c>
      <c r="AH21" s="10">
        <v>290986.6666666666</v>
      </c>
      <c r="AI21" s="10">
        <v>310933.3333333333</v>
      </c>
    </row>
    <row r="22" spans="1:35">
      <c r="A22" t="s">
        <v>114</v>
      </c>
      <c r="B22" t="s">
        <v>115</v>
      </c>
      <c r="C22" s="10">
        <v>14987.33</v>
      </c>
      <c r="D22" s="10">
        <v>14512.14</v>
      </c>
      <c r="E22" s="10">
        <v>15141.47</v>
      </c>
      <c r="F22" s="10">
        <v>29802.29</v>
      </c>
      <c r="G22" s="10">
        <v>28981</v>
      </c>
      <c r="H22" s="10">
        <v>29027.22</v>
      </c>
      <c r="I22" s="10">
        <v>29807.41</v>
      </c>
      <c r="J22" s="10">
        <v>42768.19</v>
      </c>
      <c r="K22" s="10">
        <v>43425.31</v>
      </c>
      <c r="L22" s="10">
        <v>44478.8</v>
      </c>
      <c r="M22" s="10">
        <v>43524.61</v>
      </c>
      <c r="N22" s="10">
        <v>57574.62</v>
      </c>
      <c r="O22" s="10">
        <v>60851.2</v>
      </c>
      <c r="P22" s="10">
        <v>60043.2</v>
      </c>
      <c r="Q22" s="10">
        <v>59932.4</v>
      </c>
      <c r="R22" s="10">
        <v>74155.14</v>
      </c>
      <c r="S22" s="10">
        <v>72970.5</v>
      </c>
      <c r="T22" s="10">
        <v>72738</v>
      </c>
      <c r="U22" s="10">
        <v>73276.44</v>
      </c>
      <c r="V22" s="10">
        <v>73020.25</v>
      </c>
      <c r="W22" s="10">
        <v>86400</v>
      </c>
      <c r="X22" s="10">
        <v>101226.6666666667</v>
      </c>
      <c r="Y22" s="10">
        <v>116266.6666666667</v>
      </c>
      <c r="Z22" s="10">
        <v>132960</v>
      </c>
      <c r="AA22" s="10">
        <v>155466.6666666667</v>
      </c>
      <c r="AB22" s="10">
        <v>171573.3333333333</v>
      </c>
      <c r="AC22" s="10">
        <v>171573.3333333333</v>
      </c>
      <c r="AD22" s="10">
        <v>188586.6666666667</v>
      </c>
      <c r="AE22" s="10">
        <v>202133.3333333333</v>
      </c>
      <c r="AF22" s="10">
        <v>202133.3333333333</v>
      </c>
      <c r="AG22" s="10">
        <v>220853.3333333333</v>
      </c>
      <c r="AH22" s="10">
        <v>239893.3333333333</v>
      </c>
      <c r="AI22" s="10">
        <v>239893.3333333333</v>
      </c>
    </row>
    <row r="23" spans="1:35">
      <c r="A23" t="s">
        <v>116</v>
      </c>
      <c r="B23" t="s">
        <v>115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140000</v>
      </c>
      <c r="AB23" s="10">
        <v>140000</v>
      </c>
      <c r="AC23" s="10">
        <v>140000</v>
      </c>
      <c r="AD23" s="10">
        <v>140000</v>
      </c>
      <c r="AE23" s="10">
        <v>140000</v>
      </c>
      <c r="AF23" s="10">
        <v>140000</v>
      </c>
      <c r="AG23" s="10">
        <v>140000</v>
      </c>
      <c r="AH23" s="10">
        <v>140000</v>
      </c>
      <c r="AI23" s="10">
        <v>140000</v>
      </c>
    </row>
    <row r="24" spans="1:35">
      <c r="A24" t="s">
        <v>117</v>
      </c>
      <c r="B24" t="s">
        <v>118</v>
      </c>
      <c r="C24" s="10">
        <v>15663.86</v>
      </c>
      <c r="D24" s="10">
        <v>15644.32</v>
      </c>
      <c r="E24" s="10">
        <v>15674.88</v>
      </c>
      <c r="F24" s="10">
        <v>15543.54</v>
      </c>
      <c r="G24" s="10">
        <v>15324.49</v>
      </c>
      <c r="H24" s="10">
        <v>15281.11</v>
      </c>
      <c r="I24" s="10">
        <v>15477.72</v>
      </c>
      <c r="J24" s="10">
        <v>15578.31</v>
      </c>
      <c r="K24" s="10">
        <v>15587.4</v>
      </c>
      <c r="L24" s="10">
        <v>15737.25</v>
      </c>
      <c r="M24" s="10">
        <v>15379.03</v>
      </c>
      <c r="N24" s="10">
        <v>15392.87</v>
      </c>
      <c r="O24" s="10">
        <v>16070.23</v>
      </c>
      <c r="P24" s="10">
        <v>15995.43</v>
      </c>
      <c r="Q24" s="10">
        <v>15832.97</v>
      </c>
      <c r="R24" s="10">
        <v>16170.87</v>
      </c>
      <c r="S24" s="10">
        <v>16607.25</v>
      </c>
      <c r="T24" s="10">
        <v>16299.85</v>
      </c>
      <c r="U24" s="10">
        <v>31079.66</v>
      </c>
      <c r="V24" s="10">
        <v>31111.67</v>
      </c>
      <c r="W24" s="10">
        <v>31466.67</v>
      </c>
      <c r="X24" s="10">
        <v>31466.66666666667</v>
      </c>
      <c r="Y24" s="10">
        <v>31466.66666666667</v>
      </c>
      <c r="Z24" s="10">
        <v>31466.66666666667</v>
      </c>
      <c r="AA24" s="10">
        <v>31466.66666666667</v>
      </c>
      <c r="AB24" s="10">
        <v>31466.66666666667</v>
      </c>
      <c r="AC24" s="10">
        <v>31466.66666666667</v>
      </c>
      <c r="AD24" s="10">
        <v>31466.66666666667</v>
      </c>
      <c r="AE24" s="10">
        <v>31466.66666666667</v>
      </c>
      <c r="AF24" s="10">
        <v>46613.33333333334</v>
      </c>
      <c r="AG24" s="10">
        <v>46613.33333333334</v>
      </c>
      <c r="AH24" s="10">
        <v>46613.33333333334</v>
      </c>
      <c r="AI24" s="10">
        <v>61866.66666666667</v>
      </c>
    </row>
    <row r="25" spans="1:35">
      <c r="A25" t="s">
        <v>119</v>
      </c>
      <c r="B25" t="s">
        <v>118</v>
      </c>
      <c r="C25" s="10">
        <v>29694.61</v>
      </c>
      <c r="D25" s="10">
        <v>29278.84</v>
      </c>
      <c r="E25" s="10">
        <v>38685.46</v>
      </c>
      <c r="F25" s="10">
        <v>29916.65</v>
      </c>
      <c r="G25" s="10">
        <v>33015.32</v>
      </c>
      <c r="H25" s="10">
        <v>31875.77</v>
      </c>
      <c r="I25" s="10">
        <v>42747.61</v>
      </c>
      <c r="J25" s="10">
        <v>40478.87</v>
      </c>
      <c r="K25" s="10">
        <v>40198.46</v>
      </c>
      <c r="L25" s="10">
        <v>37320.55</v>
      </c>
      <c r="M25" s="10">
        <v>57792.54</v>
      </c>
      <c r="N25" s="10">
        <v>41441.78</v>
      </c>
      <c r="O25" s="10">
        <v>45058.86</v>
      </c>
      <c r="P25" s="10">
        <v>52242.38</v>
      </c>
      <c r="Q25" s="10">
        <v>47510.24</v>
      </c>
      <c r="R25" s="10">
        <v>70654.34</v>
      </c>
      <c r="S25" s="10">
        <v>51638.27</v>
      </c>
      <c r="T25" s="10">
        <v>50592.12</v>
      </c>
      <c r="U25" s="10">
        <v>55773.69</v>
      </c>
      <c r="V25" s="10">
        <v>52293.41</v>
      </c>
      <c r="W25" s="10">
        <v>61163.46</v>
      </c>
      <c r="X25" s="10">
        <v>60000</v>
      </c>
      <c r="Y25" s="10">
        <v>60000</v>
      </c>
      <c r="Z25" s="10">
        <v>60000</v>
      </c>
      <c r="AA25" s="10">
        <v>60000</v>
      </c>
      <c r="AB25" s="10">
        <v>60000</v>
      </c>
      <c r="AC25" s="10">
        <v>60000</v>
      </c>
      <c r="AD25" s="10">
        <v>60000</v>
      </c>
      <c r="AE25" s="10">
        <v>60000</v>
      </c>
      <c r="AF25" s="10">
        <v>60000</v>
      </c>
      <c r="AG25" s="10">
        <v>60000</v>
      </c>
      <c r="AH25" s="10">
        <v>60000</v>
      </c>
      <c r="AI25" s="10">
        <v>60000</v>
      </c>
    </row>
    <row r="26" spans="1:35">
      <c r="A26" t="s">
        <v>120</v>
      </c>
      <c r="C26" s="11">
        <f>C21+C22+C23+C24+C25</f>
        <v>91532.39</v>
      </c>
      <c r="D26" s="11">
        <f>D21+D22+D23+D24+D25</f>
        <v>106062.82</v>
      </c>
      <c r="E26" s="11">
        <f>E21+E22+E23+E24+E25</f>
        <v>116040.76</v>
      </c>
      <c r="F26" s="11">
        <f>F21+F22+F23+F24+F25</f>
        <v>122957.95999999999</v>
      </c>
      <c r="G26" s="11">
        <f>G21+G22+G23+G24+G25</f>
        <v>142472.25</v>
      </c>
      <c r="H26" s="11">
        <f>H21+H22+H23+H24+H25</f>
        <v>141037.85</v>
      </c>
      <c r="I26" s="11">
        <f>I21+I22+I23+I24+I25</f>
        <v>151153.84</v>
      </c>
      <c r="J26" s="11">
        <f>J21+J22+J23+J24+J25</f>
        <v>161800.34</v>
      </c>
      <c r="K26" s="11">
        <f>K21+K22+K23+K24+K25</f>
        <v>162500.63</v>
      </c>
      <c r="L26" s="11">
        <f>L21+L22+L23+L24+L25</f>
        <v>175918.93</v>
      </c>
      <c r="M26" s="11">
        <f>M21+M22+M23+M24+M25</f>
        <v>197770.13999999998</v>
      </c>
      <c r="N26" s="11">
        <f>N21+N22+N23+N24+N25</f>
        <v>195468.49</v>
      </c>
      <c r="O26" s="11">
        <f>O21+O22+O23+O24+O25</f>
        <v>221392.35</v>
      </c>
      <c r="P26" s="11">
        <f>P21+P22+P23+P24+P25</f>
        <v>227980.82</v>
      </c>
      <c r="Q26" s="11">
        <f>Q21+Q22+Q23+Q24+Q25</f>
        <v>220168.76</v>
      </c>
      <c r="R26" s="11">
        <f>R21+R22+R23+R24+R25</f>
        <v>260005.19</v>
      </c>
      <c r="S26" s="11">
        <f>S21+S22+S23+S24+S25</f>
        <v>239694.58</v>
      </c>
      <c r="T26" s="11">
        <f>T21+T22+T23+T24+T25</f>
        <v>254777.63</v>
      </c>
      <c r="U26" s="11">
        <f>U21+U22+U23+U24+U25</f>
        <v>274067.55</v>
      </c>
      <c r="V26" s="11">
        <f>V21+V22+V23+V24+V25</f>
        <v>272372.01</v>
      </c>
      <c r="W26" s="11">
        <f>W21+W22+W23+W24+W25</f>
        <v>294763.46</v>
      </c>
      <c r="X26" s="11">
        <f>X21+X22+X23+X24+X25</f>
        <v>328800.0</v>
      </c>
      <c r="Y26" s="11">
        <f>Y21+Y22+Y23+Y24+Y25</f>
        <v>364000.0</v>
      </c>
      <c r="Z26" s="11">
        <f>Z21+Z22+Z23+Z24+Z25</f>
        <v>399200.0</v>
      </c>
      <c r="AA26" s="11">
        <f>AA21+AA22+AA23+AA24+AA25</f>
        <v>561706.6666666667</v>
      </c>
      <c r="AB26" s="11">
        <f>AB21+AB22+AB23+AB24+AB25</f>
        <v>596906.6666666666</v>
      </c>
      <c r="AC26" s="11">
        <f>AC21+AC22+AC23+AC24+AC25</f>
        <v>617653.3333333333</v>
      </c>
      <c r="AD26" s="11">
        <f>AD21+AD22+AD23+AD24+AD25</f>
        <v>652853.3333333333</v>
      </c>
      <c r="AE26" s="11">
        <f>AE21+AE22+AE23+AE24+AE25</f>
        <v>688053.3333333333</v>
      </c>
      <c r="AF26" s="11">
        <f>AF21+AF22+AF23+AF24+AF25</f>
        <v>723253.3333333334</v>
      </c>
      <c r="AG26" s="11">
        <f>AG21+AG22+AG23+AG24+AG25</f>
        <v>758453.3333333334</v>
      </c>
      <c r="AH26" s="11">
        <f>AH21+AH22+AH23+AH24+AH25</f>
        <v>777493.3333333333</v>
      </c>
      <c r="AI26" s="11">
        <f>AI21+AI22+AI23+AI24+AI25</f>
        <v>812693.3333333333</v>
      </c>
    </row>
    <row r="27" spans="1:35">
      <c r="A27" t="s">
        <v>121</v>
      </c>
      <c r="C27" s="11">
        <f>C18+C8+C9-C26</f>
        <v>-87350.16</v>
      </c>
      <c r="D27" s="11">
        <f>D18+D8+D9-D26</f>
        <v>-98645.40000000001</v>
      </c>
      <c r="E27" s="11">
        <f>E18+E8+E9-E26</f>
        <v>-106771.57999999999</v>
      </c>
      <c r="F27" s="11">
        <f>F18+F8+F9-F26</f>
        <v>-111388.20999999999</v>
      </c>
      <c r="G27" s="11">
        <f>G18+G8+G9-G26</f>
        <v>-128440.18</v>
      </c>
      <c r="H27" s="11">
        <f>H18+H8+H9-H26</f>
        <v>-124750.42000000001</v>
      </c>
      <c r="I27" s="11">
        <f>I18+I8+I9-I26</f>
        <v>-141352.11</v>
      </c>
      <c r="J27" s="11">
        <f>J18+J8+J9-J26</f>
        <v>-147749.41999999998</v>
      </c>
      <c r="K27" s="11">
        <f>K18+K8+K9-K26</f>
        <v>-143636.77000000002</v>
      </c>
      <c r="L27" s="11">
        <f>L18+L8+L9-L26</f>
        <v>-152449.93</v>
      </c>
      <c r="M27" s="11">
        <f>M18+M8+M9-M26</f>
        <v>-156112.47999999998</v>
      </c>
      <c r="N27" s="11">
        <f>N18+N8+N9-N26</f>
        <v>-150516.12</v>
      </c>
      <c r="O27" s="11">
        <f>O18+O8+O9-O26</f>
        <v>-173332.66</v>
      </c>
      <c r="P27" s="11">
        <f>P18+P8+P9-P26</f>
        <v>-173799.94</v>
      </c>
      <c r="Q27" s="11">
        <f>Q18+Q8+Q9-Q26</f>
        <v>-169087.31</v>
      </c>
      <c r="R27" s="11">
        <f>R18+R8+R9-R26</f>
        <v>-189787.59</v>
      </c>
      <c r="S27" s="11">
        <f>S18+S8+S9-S26</f>
        <v>-160953.34</v>
      </c>
      <c r="T27" s="11">
        <f>T18+T8+T9-T26</f>
        <v>-169813.17</v>
      </c>
      <c r="U27" s="11">
        <f>U18+U8+U9-U26</f>
        <v>-183269.96999999997</v>
      </c>
      <c r="V27" s="11">
        <f>V18+V8+V9-V26</f>
        <v>-156962.1</v>
      </c>
      <c r="W27" s="11">
        <f>W18+W8+W9-W26</f>
        <v>-172030.22000000003</v>
      </c>
      <c r="X27" s="11">
        <f>X18+X8+X9-X26</f>
        <v>-225758.06466666667</v>
      </c>
      <c r="Y27" s="11">
        <f>Y18+Y8+Y9-Y26</f>
        <v>-255981.0684466667</v>
      </c>
      <c r="Z27" s="11">
        <f>Z18+Z8+Z9-Z26</f>
        <v>-286029.8773589667</v>
      </c>
      <c r="AA27" s="11">
        <f>AA18+AA8+AA9-AA26</f>
        <v>-455898.3945831973</v>
      </c>
      <c r="AB27" s="11">
        <f>AB18+AB8+AB9-AB26</f>
        <v>-485580.30991027574</v>
      </c>
      <c r="AC27" s="11">
        <f>AC18+AC8+AC9-AC26</f>
        <v>-515069.0922738021</v>
      </c>
      <c r="AD27" s="11">
        <f>AD18+AD8+AD9-AD26</f>
        <v>-544357.9820200518</v>
      </c>
      <c r="AE27" s="11">
        <f>AE18+AE8+AE9-AE26</f>
        <v>-573439.9829074203</v>
      </c>
      <c r="AF27" s="11">
        <f>AF18+AF8+AF9-AF26</f>
        <v>-602307.8538258468</v>
      </c>
      <c r="AG27" s="11">
        <f>AG18+AG8+AG9-AG26</f>
        <v>-630954.1002264181</v>
      </c>
      <c r="AH27" s="11">
        <f>AH18+AH8+AH9-AH26</f>
        <v>-659370.9652510093</v>
      </c>
      <c r="AI27" s="11">
        <f>AI18+AI8+AI9-AI26</f>
        <v>-687550.4205514614</v>
      </c>
    </row>
    <row r="28" spans="1:35">
      <c r="A28" s="9" t="s">
        <v>122</v>
      </c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</row>
    <row r="29" spans="1:35">
      <c r="A29" t="s">
        <v>123</v>
      </c>
      <c r="B29" t="s">
        <v>122</v>
      </c>
      <c r="C29" s="10">
        <f>C21+C22+C16+C24</f>
        <v>61837.78</v>
      </c>
      <c r="D29" s="10">
        <f>D21+D22+D16+D24</f>
        <v>76783.98000000001</v>
      </c>
      <c r="E29" s="10">
        <f>E21+E22+E16+E24</f>
        <v>77355.3</v>
      </c>
      <c r="F29" s="10">
        <f>F21+F22+F16+F24</f>
        <v>93041.31</v>
      </c>
      <c r="G29" s="10">
        <f>G21+G22+G16+G24</f>
        <v>109456.93000000001</v>
      </c>
      <c r="H29" s="10">
        <f>H21+H22+H16+H24</f>
        <v>109162.08</v>
      </c>
      <c r="I29" s="10">
        <f>I21+I22+I16+I24</f>
        <v>118099.15000000001</v>
      </c>
      <c r="J29" s="10">
        <f>J21+J22+J16+J24</f>
        <v>131142.66</v>
      </c>
      <c r="K29" s="10">
        <f>K21+K22+K16+K24</f>
        <v>131870.22999999998</v>
      </c>
      <c r="L29" s="10">
        <f>L21+L22+L16+L24</f>
        <v>148192.62</v>
      </c>
      <c r="M29" s="10">
        <f>M21+M22+M16+M24</f>
        <v>149807.61</v>
      </c>
      <c r="N29" s="10">
        <f>N21+N22+N16+N24</f>
        <v>163607.8</v>
      </c>
      <c r="O29" s="10">
        <f>O21+O22+O16+O24</f>
        <v>186356.64</v>
      </c>
      <c r="P29" s="10">
        <f>P21+P22+P16+P24</f>
        <v>185817.07</v>
      </c>
      <c r="Q29" s="10">
        <f>Q21+Q22+Q16+Q24</f>
        <v>193134.3</v>
      </c>
      <c r="R29" s="10">
        <f>R21+R22+R16+R24</f>
        <v>209436.06999999998</v>
      </c>
      <c r="S29" s="10">
        <f>S21+S22+S16+S24</f>
        <v>208383.22</v>
      </c>
      <c r="T29" s="10">
        <f>T21+T22+T16+T24</f>
        <v>224396.71000000002</v>
      </c>
      <c r="U29" s="10">
        <f>U21+U22+U16+U24</f>
        <v>239048.25000000003</v>
      </c>
      <c r="V29" s="10">
        <f>V21+V22+V16+V24</f>
        <v>240215.59999999998</v>
      </c>
      <c r="W29" s="10">
        <f>W21+W22+W16+W24</f>
        <v>253866.66999999998</v>
      </c>
      <c r="X29" s="10">
        <f>X21+X22+X16+X24</f>
        <v>289066.6666666666</v>
      </c>
      <c r="Y29" s="10">
        <f>Y21+Y22+Y16+Y24</f>
        <v>324266.6666666667</v>
      </c>
      <c r="Z29" s="10">
        <f>Z21+Z22+Z16+Z24</f>
        <v>359466.6666666667</v>
      </c>
      <c r="AA29" s="10">
        <f>AA21+AA22+AA16+AA24</f>
        <v>394666.6666666667</v>
      </c>
      <c r="AB29" s="10">
        <f>AB21+AB22+AB16+AB24</f>
        <v>429866.6666666667</v>
      </c>
      <c r="AC29" s="10">
        <f>AC21+AC22+AC16+AC24</f>
        <v>465066.6666666666</v>
      </c>
      <c r="AD29" s="10">
        <f>AD21+AD22+AD16+AD24</f>
        <v>500266.6666666666</v>
      </c>
      <c r="AE29" s="10">
        <f>AE21+AE22+AE16+AE24</f>
        <v>535466.6666666666</v>
      </c>
      <c r="AF29" s="10">
        <f>AF21+AF22+AF16+AF24</f>
        <v>570666.6666666666</v>
      </c>
      <c r="AG29" s="10">
        <f>AG21+AG22+AG16+AG24</f>
        <v>605866.6666666666</v>
      </c>
      <c r="AH29" s="10">
        <f>AH21+AH22+AH16+AH24</f>
        <v>641066.6666666667</v>
      </c>
      <c r="AI29" s="10">
        <f>AI21+AI22+AI16+AI24</f>
        <v>676266.6666666666</v>
      </c>
    </row>
    <row r="30" spans="1:35">
      <c r="A30" t="s">
        <v>124</v>
      </c>
      <c r="B30" t="s">
        <v>122</v>
      </c>
      <c r="C30" s="10">
        <f>-C27</f>
        <v>87350.16</v>
      </c>
      <c r="D30" s="10">
        <f>-D27</f>
        <v>98645.40000000001</v>
      </c>
      <c r="E30" s="10">
        <f>-E27</f>
        <v>106771.57999999999</v>
      </c>
      <c r="F30" s="10">
        <f>-F27</f>
        <v>111388.20999999999</v>
      </c>
      <c r="G30" s="10">
        <f>-G27</f>
        <v>128440.18</v>
      </c>
      <c r="H30" s="10">
        <f>-H27</f>
        <v>124750.42000000001</v>
      </c>
      <c r="I30" s="10">
        <f>-I27</f>
        <v>141352.11</v>
      </c>
      <c r="J30" s="10">
        <f>-J27</f>
        <v>147749.41999999998</v>
      </c>
      <c r="K30" s="10">
        <f>-K27</f>
        <v>143636.77000000002</v>
      </c>
      <c r="L30" s="10">
        <f>-L27</f>
        <v>152449.93</v>
      </c>
      <c r="M30" s="10">
        <f>-M27</f>
        <v>156112.47999999998</v>
      </c>
      <c r="N30" s="10">
        <f>-N27</f>
        <v>150516.12</v>
      </c>
      <c r="O30" s="10">
        <f>-O27</f>
        <v>173332.66</v>
      </c>
      <c r="P30" s="10">
        <f>-P27</f>
        <v>173799.94</v>
      </c>
      <c r="Q30" s="10">
        <f>-Q27</f>
        <v>169087.31</v>
      </c>
      <c r="R30" s="10">
        <f>-R27</f>
        <v>189787.59</v>
      </c>
      <c r="S30" s="10">
        <f>-S27</f>
        <v>160953.34</v>
      </c>
      <c r="T30" s="10">
        <f>-T27</f>
        <v>169813.17</v>
      </c>
      <c r="U30" s="10">
        <f>-U27</f>
        <v>183269.96999999997</v>
      </c>
      <c r="V30" s="10">
        <f>-V27</f>
        <v>156962.1</v>
      </c>
      <c r="W30" s="10">
        <f>-W27</f>
        <v>172030.22000000003</v>
      </c>
      <c r="X30" s="10">
        <f>-X27</f>
        <v>225758.06466666667</v>
      </c>
      <c r="Y30" s="10">
        <f>-Y27</f>
        <v>255981.0684466667</v>
      </c>
      <c r="Z30" s="10">
        <f>-Z27</f>
        <v>286029.8773589667</v>
      </c>
      <c r="AA30" s="10">
        <f>-AA27</f>
        <v>455898.3945831973</v>
      </c>
      <c r="AB30" s="10">
        <f>-AB27</f>
        <v>485580.30991027574</v>
      </c>
      <c r="AC30" s="10">
        <f>-AC27</f>
        <v>515069.0922738021</v>
      </c>
      <c r="AD30" s="10">
        <f>-AD27</f>
        <v>544357.9820200518</v>
      </c>
      <c r="AE30" s="10">
        <f>-AE27</f>
        <v>573439.9829074203</v>
      </c>
      <c r="AF30" s="10">
        <f>-AF27</f>
        <v>602307.8538258468</v>
      </c>
      <c r="AG30" s="10">
        <f>-AG27</f>
        <v>630954.1002264181</v>
      </c>
      <c r="AH30" s="10">
        <f>-AH27</f>
        <v>659370.9652510093</v>
      </c>
      <c r="AI30" s="10">
        <f>-AI27</f>
        <v>687550.4205514614</v>
      </c>
    </row>
    <row r="31" spans="1:35">
      <c r="A31" t="s">
        <v>125</v>
      </c>
      <c r="B31" t="s">
        <v>122</v>
      </c>
      <c r="C31" s="10">
        <v>4</v>
      </c>
      <c r="D31" s="10">
        <v>5</v>
      </c>
      <c r="E31" s="10">
        <v>5</v>
      </c>
      <c r="F31" s="10">
        <v>6</v>
      </c>
      <c r="G31" s="10">
        <v>7</v>
      </c>
      <c r="H31" s="10">
        <v>7</v>
      </c>
      <c r="I31" s="10">
        <v>8</v>
      </c>
      <c r="J31" s="10">
        <v>9</v>
      </c>
      <c r="K31" s="10">
        <v>9</v>
      </c>
      <c r="L31" s="10">
        <v>10</v>
      </c>
      <c r="M31" s="10">
        <v>10</v>
      </c>
      <c r="N31" s="10">
        <v>11</v>
      </c>
      <c r="O31" s="10">
        <v>12</v>
      </c>
      <c r="P31" s="10">
        <v>12</v>
      </c>
      <c r="Q31" s="10">
        <v>13</v>
      </c>
      <c r="R31" s="10">
        <v>14</v>
      </c>
      <c r="S31" s="10">
        <v>14</v>
      </c>
      <c r="T31" s="10">
        <v>15</v>
      </c>
      <c r="U31" s="10">
        <v>16</v>
      </c>
      <c r="V31" s="10">
        <v>16</v>
      </c>
      <c r="W31" s="10">
        <v>17</v>
      </c>
      <c r="X31" s="10">
        <v>19</v>
      </c>
      <c r="Y31" s="10">
        <v>21</v>
      </c>
      <c r="Z31" s="10">
        <v>23</v>
      </c>
      <c r="AA31" s="10">
        <v>25</v>
      </c>
      <c r="AB31" s="10">
        <v>27</v>
      </c>
      <c r="AC31" s="10">
        <v>29</v>
      </c>
      <c r="AD31" s="10">
        <v>31</v>
      </c>
      <c r="AE31" s="10">
        <v>33</v>
      </c>
      <c r="AF31" s="10">
        <v>35</v>
      </c>
      <c r="AG31" s="10">
        <v>37</v>
      </c>
      <c r="AH31" s="10">
        <v>39</v>
      </c>
      <c r="AI31" s="10">
        <v>41</v>
      </c>
    </row>
    <row r="33" spans="1:1">
      <c r="A33" s="3" t="s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FormatPr defaultRowHeight="15"/>
  <cols>
    <col min="1" max="1" width="52.7109375" customWidth="1"/>
    <col min="2" max="2" width="14.7109375" customWidth="1"/>
    <col min="3" max="5" width="16.7109375" customWidth="1"/>
    <col min="6" max="6" width="90.7109375" customWidth="1"/>
  </cols>
  <sheetData>
    <row r="1" spans="1:6">
      <c r="A1" s="1" t="s">
        <v>126</v>
      </c>
    </row>
    <row r="2" spans="1:6">
      <c r="A2" s="3" t="s">
        <v>127</v>
      </c>
    </row>
    <row r="4" spans="1:6">
      <c r="A4" s="4" t="s">
        <v>59</v>
      </c>
      <c r="B4" s="4" t="s">
        <v>128</v>
      </c>
      <c r="C4" s="4" t="s">
        <v>129</v>
      </c>
      <c r="D4" s="4" t="s">
        <v>130</v>
      </c>
      <c r="E4" s="4" t="s">
        <v>131</v>
      </c>
      <c r="F4" s="4" t="s">
        <v>20</v>
      </c>
    </row>
    <row r="5" spans="1:6">
      <c r="A5" t="s">
        <v>132</v>
      </c>
      <c r="B5" t="s">
        <v>133</v>
      </c>
      <c r="C5" s="10">
        <v>13</v>
      </c>
      <c r="D5" s="10">
        <v>10087</v>
      </c>
      <c r="E5" s="10">
        <f>D5*12</f>
        <v>121044</v>
      </c>
      <c r="F5" s="3" t="s">
        <v>134</v>
      </c>
    </row>
    <row r="6" spans="1:6">
      <c r="A6" t="s">
        <v>135</v>
      </c>
      <c r="B6" t="s">
        <v>133</v>
      </c>
      <c r="C6" s="10">
        <v>14</v>
      </c>
      <c r="D6" s="10">
        <v>10535</v>
      </c>
      <c r="E6" s="10">
        <f>D6*12</f>
        <v>126420</v>
      </c>
      <c r="F6" s="3" t="s">
        <v>134</v>
      </c>
    </row>
    <row r="7" spans="1:6">
      <c r="A7" t="s">
        <v>136</v>
      </c>
      <c r="B7" t="s">
        <v>133</v>
      </c>
      <c r="C7" s="10">
        <v>21</v>
      </c>
      <c r="D7" s="10">
        <v>13985</v>
      </c>
      <c r="E7" s="10">
        <f>D7*12</f>
        <v>167820</v>
      </c>
      <c r="F7" s="3" t="s">
        <v>134</v>
      </c>
    </row>
    <row r="8" spans="1:6">
      <c r="A8" t="s">
        <v>137</v>
      </c>
      <c r="B8" t="s">
        <v>133</v>
      </c>
      <c r="C8" s="10">
        <v>32</v>
      </c>
      <c r="D8" s="10">
        <v>54072</v>
      </c>
      <c r="E8" s="10">
        <f>D8*12</f>
        <v>648864</v>
      </c>
      <c r="F8" s="3" t="s">
        <v>134</v>
      </c>
    </row>
    <row r="9" spans="1:6">
      <c r="A9" t="s">
        <v>138</v>
      </c>
      <c r="B9" t="s">
        <v>133</v>
      </c>
      <c r="C9" s="10">
        <v>36</v>
      </c>
      <c r="D9" s="10">
        <v>24211</v>
      </c>
      <c r="E9" s="10">
        <f>D9*12</f>
        <v>290532</v>
      </c>
      <c r="F9" s="3" t="s">
        <v>134</v>
      </c>
    </row>
    <row r="10" spans="1:6">
      <c r="A10" t="s">
        <v>139</v>
      </c>
      <c r="B10" t="s">
        <v>133</v>
      </c>
      <c r="C10" s="10">
        <v>40</v>
      </c>
      <c r="D10" s="10">
        <v>26755</v>
      </c>
      <c r="E10" s="10">
        <f>D10*12</f>
        <v>321060</v>
      </c>
      <c r="F10" s="3" t="s">
        <v>134</v>
      </c>
    </row>
    <row r="11" spans="1:6">
      <c r="A11" t="s">
        <v>140</v>
      </c>
      <c r="B11" t="s">
        <v>133</v>
      </c>
      <c r="C11" s="10">
        <v>56</v>
      </c>
      <c r="D11" s="10">
        <v>32094</v>
      </c>
      <c r="E11" s="10">
        <f>D11*12</f>
        <v>385128</v>
      </c>
      <c r="F11" s="3" t="s">
        <v>134</v>
      </c>
    </row>
    <row r="12" spans="1:6">
      <c r="A12" s="2" t="s">
        <v>141</v>
      </c>
      <c r="B12" t="s">
        <v>133</v>
      </c>
      <c r="C12" s="11">
        <f>SUM(C5:C11)</f>
        <v>212</v>
      </c>
      <c r="D12" s="11">
        <f>SUM(D5:D11)</f>
        <v>171739</v>
      </c>
      <c r="E12" s="11">
        <f>SUM(E5:E11)</f>
        <v>2060868</v>
      </c>
    </row>
    <row r="13" spans="1:6">
      <c r="A13" t="s">
        <v>142</v>
      </c>
      <c r="B13" t="s">
        <v>143</v>
      </c>
      <c r="C13" s="10">
        <v>1</v>
      </c>
      <c r="D13" s="10">
        <v>0</v>
      </c>
      <c r="E13" s="10">
        <v>0</v>
      </c>
      <c r="F13" s="3" t="s">
        <v>144</v>
      </c>
    </row>
    <row r="14" spans="1:6">
      <c r="A14" t="s">
        <v>145</v>
      </c>
      <c r="B14" t="s">
        <v>146</v>
      </c>
      <c r="C14" s="10">
        <v>19</v>
      </c>
      <c r="D14" s="10">
        <v>0</v>
      </c>
      <c r="E14" s="10">
        <v>0</v>
      </c>
      <c r="F14" s="3" t="s">
        <v>147</v>
      </c>
    </row>
    <row r="15" spans="1:6">
      <c r="A15" s="2" t="s">
        <v>148</v>
      </c>
      <c r="E15" s="6">
        <f>E12+E13+E14</f>
        <v>2060868</v>
      </c>
    </row>
    <row r="17" spans="1:5">
      <c r="A17" s="2" t="s">
        <v>149</v>
      </c>
    </row>
    <row r="18" spans="1:5">
      <c r="A18" s="4" t="s">
        <v>150</v>
      </c>
      <c r="B18" s="4"/>
      <c r="C18" s="4" t="s">
        <v>151</v>
      </c>
      <c r="D18" s="4" t="s">
        <v>152</v>
      </c>
      <c r="E18" s="4" t="s">
        <v>153</v>
      </c>
    </row>
    <row r="19" spans="1:5">
      <c r="A19" t="s">
        <v>61</v>
      </c>
      <c r="C19" s="10">
        <v>2651</v>
      </c>
      <c r="D19" s="10">
        <v>0</v>
      </c>
      <c r="E19" s="10">
        <f>C19*12</f>
        <v>31812</v>
      </c>
    </row>
    <row r="20" spans="1:5">
      <c r="A20" t="s">
        <v>63</v>
      </c>
      <c r="C20" s="10">
        <v>6828</v>
      </c>
      <c r="D20" s="10">
        <v>0</v>
      </c>
      <c r="E20" s="10">
        <f>C20*12</f>
        <v>81936</v>
      </c>
    </row>
    <row r="21" spans="1:5">
      <c r="A21" t="s">
        <v>64</v>
      </c>
      <c r="C21" s="10">
        <v>10024</v>
      </c>
      <c r="D21" s="10">
        <v>0</v>
      </c>
      <c r="E21" s="10">
        <f>C21*12</f>
        <v>120288</v>
      </c>
    </row>
    <row r="22" spans="1:5">
      <c r="A22" t="s">
        <v>65</v>
      </c>
      <c r="C22" s="10">
        <v>12366</v>
      </c>
      <c r="D22" s="10">
        <v>0</v>
      </c>
      <c r="E22" s="10">
        <f>C22*12</f>
        <v>148392</v>
      </c>
    </row>
    <row r="23" spans="1:5">
      <c r="A23" t="s">
        <v>66</v>
      </c>
      <c r="C23" s="10">
        <v>16059</v>
      </c>
      <c r="D23" s="10">
        <v>0</v>
      </c>
      <c r="E23" s="10">
        <f>C23*12</f>
        <v>192708</v>
      </c>
    </row>
    <row r="24" spans="1:5">
      <c r="A24" t="s">
        <v>67</v>
      </c>
      <c r="C24" s="10">
        <v>19462</v>
      </c>
      <c r="D24" s="10">
        <v>0</v>
      </c>
      <c r="E24" s="10">
        <f>C24*12</f>
        <v>233544</v>
      </c>
    </row>
    <row r="25" spans="1:5">
      <c r="A25" t="s">
        <v>68</v>
      </c>
      <c r="C25" s="10">
        <v>23092</v>
      </c>
      <c r="D25" s="10">
        <v>0</v>
      </c>
      <c r="E25" s="10">
        <f>C25*12</f>
        <v>277104</v>
      </c>
    </row>
    <row r="26" spans="1:5">
      <c r="A26" t="s">
        <v>69</v>
      </c>
      <c r="C26" s="10">
        <v>28610</v>
      </c>
      <c r="D26" s="10">
        <v>0</v>
      </c>
      <c r="E26" s="10">
        <f>C26*12</f>
        <v>343320</v>
      </c>
    </row>
    <row r="27" spans="1:5">
      <c r="A27" t="s">
        <v>70</v>
      </c>
      <c r="C27" s="10">
        <v>34539</v>
      </c>
      <c r="D27" s="10">
        <v>0</v>
      </c>
      <c r="E27" s="10">
        <f>C27*12</f>
        <v>414468</v>
      </c>
    </row>
    <row r="28" spans="1:5">
      <c r="A28" t="s">
        <v>71</v>
      </c>
      <c r="C28" s="10">
        <v>40585</v>
      </c>
      <c r="D28" s="10">
        <v>0</v>
      </c>
      <c r="E28" s="10">
        <f>C28*12</f>
        <v>487020</v>
      </c>
    </row>
    <row r="29" spans="1:5">
      <c r="A29" t="s">
        <v>72</v>
      </c>
      <c r="C29" s="10">
        <v>65867</v>
      </c>
      <c r="D29" s="10">
        <v>0</v>
      </c>
      <c r="E29" s="10">
        <f>C29*12</f>
        <v>790404</v>
      </c>
    </row>
    <row r="30" spans="1:5">
      <c r="A30" t="s">
        <v>73</v>
      </c>
      <c r="C30" s="10">
        <v>72656</v>
      </c>
      <c r="D30" s="10">
        <v>0</v>
      </c>
      <c r="E30" s="10">
        <f>C30*12</f>
        <v>871872</v>
      </c>
    </row>
    <row r="31" spans="1:5">
      <c r="A31" t="s">
        <v>74</v>
      </c>
      <c r="C31" s="10">
        <v>77134</v>
      </c>
      <c r="D31" s="10">
        <v>0</v>
      </c>
      <c r="E31" s="10">
        <f>C31*12</f>
        <v>925608</v>
      </c>
    </row>
    <row r="32" spans="1:5">
      <c r="A32" t="s">
        <v>75</v>
      </c>
      <c r="C32" s="10">
        <v>85778</v>
      </c>
      <c r="D32" s="10">
        <v>0</v>
      </c>
      <c r="E32" s="10">
        <f>C32*12</f>
        <v>1029336</v>
      </c>
    </row>
    <row r="33" spans="1:5">
      <c r="A33" t="s">
        <v>76</v>
      </c>
      <c r="C33" s="10">
        <v>95824</v>
      </c>
      <c r="D33" s="10">
        <v>0</v>
      </c>
      <c r="E33" s="10">
        <f>C33*12</f>
        <v>1149888</v>
      </c>
    </row>
    <row r="34" spans="1:5">
      <c r="A34" t="s">
        <v>77</v>
      </c>
      <c r="C34" s="10">
        <v>122664</v>
      </c>
      <c r="D34" s="10">
        <v>0</v>
      </c>
      <c r="E34" s="10">
        <f>C34*12</f>
        <v>1471968</v>
      </c>
    </row>
    <row r="35" spans="1:5">
      <c r="A35" t="s">
        <v>78</v>
      </c>
      <c r="C35" s="10">
        <v>133652</v>
      </c>
      <c r="D35" s="10">
        <v>0</v>
      </c>
      <c r="E35" s="10">
        <f>C35*12</f>
        <v>1603824</v>
      </c>
    </row>
    <row r="36" spans="1:5">
      <c r="A36" t="s">
        <v>79</v>
      </c>
      <c r="C36" s="10">
        <v>142497</v>
      </c>
      <c r="D36" s="10">
        <v>0</v>
      </c>
      <c r="E36" s="10">
        <f>C36*12</f>
        <v>1709964</v>
      </c>
    </row>
    <row r="37" spans="1:5">
      <c r="A37" t="s">
        <v>80</v>
      </c>
      <c r="C37" s="10">
        <v>149831</v>
      </c>
      <c r="D37" s="10">
        <v>0</v>
      </c>
      <c r="E37" s="10">
        <f>C37*12</f>
        <v>1797972</v>
      </c>
    </row>
    <row r="38" spans="1:5">
      <c r="A38" t="s">
        <v>81</v>
      </c>
      <c r="C38" s="10">
        <v>160971</v>
      </c>
      <c r="D38" s="10">
        <v>15000</v>
      </c>
      <c r="E38" s="10">
        <f>C38*12</f>
        <v>1931652</v>
      </c>
    </row>
    <row r="39" spans="1:5">
      <c r="A39" t="s">
        <v>82</v>
      </c>
      <c r="C39" s="10">
        <v>171739</v>
      </c>
      <c r="D39" s="10">
        <v>15000</v>
      </c>
      <c r="E39" s="10">
        <f>C39*12</f>
        <v>2060868</v>
      </c>
    </row>
    <row r="41" spans="1:5">
      <c r="A41" s="3" t="s">
        <v>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6"/>
  <sheetViews>
    <sheetView workbookViewId="0"/>
  </sheetViews>
  <sheetFormatPr defaultRowHeight="15"/>
  <cols>
    <col min="1" max="1" width="30.7109375" customWidth="1"/>
    <col min="2" max="5" width="16.7109375" customWidth="1"/>
    <col min="6" max="18" width="8.7109375" customWidth="1"/>
  </cols>
  <sheetData>
    <row r="1" spans="1:18">
      <c r="A1" s="1" t="s">
        <v>154</v>
      </c>
    </row>
    <row r="2" spans="1:18">
      <c r="A2" s="3" t="s">
        <v>155</v>
      </c>
    </row>
    <row r="4" spans="1:18">
      <c r="A4" s="4" t="s">
        <v>156</v>
      </c>
      <c r="B4" s="4" t="s">
        <v>129</v>
      </c>
      <c r="C4" s="4" t="s">
        <v>157</v>
      </c>
      <c r="D4" s="4" t="s">
        <v>158</v>
      </c>
      <c r="E4" s="4" t="s">
        <v>159</v>
      </c>
      <c r="F4" s="8" t="s">
        <v>160</v>
      </c>
      <c r="G4" s="8" t="s">
        <v>161</v>
      </c>
      <c r="H4" s="8" t="s">
        <v>162</v>
      </c>
      <c r="I4" s="8" t="s">
        <v>163</v>
      </c>
      <c r="J4" s="8" t="s">
        <v>164</v>
      </c>
      <c r="K4" s="8" t="s">
        <v>165</v>
      </c>
      <c r="L4" s="8" t="s">
        <v>166</v>
      </c>
      <c r="M4" s="8" t="s">
        <v>167</v>
      </c>
      <c r="N4" s="8" t="s">
        <v>168</v>
      </c>
      <c r="O4" s="8" t="s">
        <v>169</v>
      </c>
      <c r="P4" s="8" t="s">
        <v>170</v>
      </c>
      <c r="Q4" s="8" t="s">
        <v>171</v>
      </c>
      <c r="R4" s="8" t="s">
        <v>172</v>
      </c>
    </row>
    <row r="5" spans="1:18">
      <c r="A5" t="s">
        <v>61</v>
      </c>
      <c r="B5" s="10">
        <v>5</v>
      </c>
      <c r="C5" s="10">
        <v>2651</v>
      </c>
      <c r="D5" s="10">
        <v>1953</v>
      </c>
      <c r="E5" s="12">
        <f>D5/C5</f>
        <v>0.7367031308940023</v>
      </c>
      <c r="F5" s="12">
        <v>1</v>
      </c>
      <c r="G5" s="12">
        <v>0.8683515654470011</v>
      </c>
      <c r="H5" s="12">
        <v>0.8683515654470011</v>
      </c>
      <c r="I5" s="12">
        <v>0.8683515654470011</v>
      </c>
      <c r="J5" s="12">
        <v>0.8683515654470011</v>
      </c>
      <c r="K5" s="12">
        <v>0.8683515654470011</v>
      </c>
      <c r="L5" s="12">
        <v>0.8683515654470011</v>
      </c>
      <c r="M5" s="12">
        <v>0.8683515654470011</v>
      </c>
      <c r="N5" s="12">
        <v>0.8683515654470011</v>
      </c>
      <c r="O5" s="12">
        <v>0.7367031308940023</v>
      </c>
      <c r="P5" s="12">
        <v>0.7367031308940023</v>
      </c>
      <c r="Q5" s="12">
        <v>0.7367031308940023</v>
      </c>
      <c r="R5" s="12">
        <v>0.7367031308940023</v>
      </c>
    </row>
    <row r="6" spans="1:18">
      <c r="A6" t="s">
        <v>63</v>
      </c>
      <c r="B6" s="10">
        <v>6</v>
      </c>
      <c r="C6" s="10">
        <v>4526</v>
      </c>
      <c r="D6" s="10">
        <v>5276</v>
      </c>
      <c r="E6" s="12">
        <f>D6/C6</f>
        <v>1.16570923552806</v>
      </c>
      <c r="F6" s="12">
        <v>1</v>
      </c>
      <c r="G6" s="12">
        <v>1</v>
      </c>
      <c r="H6" s="12">
        <v>1</v>
      </c>
      <c r="I6" s="12">
        <v>1</v>
      </c>
      <c r="J6" s="12">
        <v>1</v>
      </c>
      <c r="K6" s="12">
        <v>1</v>
      </c>
      <c r="L6" s="12">
        <v>1.066283694211224</v>
      </c>
      <c r="M6" s="12">
        <v>1.066283694211224</v>
      </c>
      <c r="N6" s="12">
        <v>1.066283694211224</v>
      </c>
      <c r="O6" s="12">
        <v>1.066283694211224</v>
      </c>
      <c r="P6" s="12">
        <v>1.16570923552806</v>
      </c>
      <c r="Q6" s="12">
        <v>1.16570923552806</v>
      </c>
      <c r="R6" s="12">
        <v>1.16570923552806</v>
      </c>
    </row>
    <row r="7" spans="1:18">
      <c r="A7" t="s">
        <v>64</v>
      </c>
      <c r="B7" s="10">
        <v>6</v>
      </c>
      <c r="C7" s="10">
        <v>3196</v>
      </c>
      <c r="D7" s="10">
        <v>2063</v>
      </c>
      <c r="E7" s="12">
        <f>D7/C7</f>
        <v>0.64549436795995</v>
      </c>
      <c r="F7" s="12">
        <v>1</v>
      </c>
      <c r="G7" s="12">
        <v>0.4530663329161452</v>
      </c>
      <c r="H7" s="12">
        <v>0.4530663329161452</v>
      </c>
      <c r="I7" s="12">
        <v>0.4530663329161452</v>
      </c>
      <c r="J7" s="12">
        <v>0.4530663329161452</v>
      </c>
      <c r="K7" s="12">
        <v>0.4530663329161452</v>
      </c>
      <c r="L7" s="12">
        <v>0.4530663329161452</v>
      </c>
      <c r="M7" s="12">
        <v>0.4530663329161452</v>
      </c>
      <c r="N7" s="12">
        <v>0.4530663329161452</v>
      </c>
      <c r="O7" s="12">
        <v>0.5469336670838548</v>
      </c>
      <c r="P7" s="12">
        <v>0.64549436795995</v>
      </c>
      <c r="Q7" s="12">
        <v>0.64549436795995</v>
      </c>
      <c r="R7" s="12">
        <v>0.64549436795995</v>
      </c>
    </row>
    <row r="8" spans="1:18">
      <c r="A8" t="s">
        <v>65</v>
      </c>
      <c r="B8" s="10">
        <v>7</v>
      </c>
      <c r="C8" s="10">
        <v>4090</v>
      </c>
      <c r="D8" s="10">
        <v>4311</v>
      </c>
      <c r="E8" s="12">
        <f>D8/C8</f>
        <v>1.0540342298288508</v>
      </c>
      <c r="F8" s="12">
        <v>1</v>
      </c>
      <c r="G8" s="12">
        <v>1</v>
      </c>
      <c r="H8" s="12">
        <v>1</v>
      </c>
      <c r="I8" s="12">
        <v>0.841320293398533</v>
      </c>
      <c r="J8" s="12">
        <v>0.9146699266503667</v>
      </c>
      <c r="K8" s="12">
        <v>0.9146699266503667</v>
      </c>
      <c r="L8" s="12">
        <v>0.9146699266503667</v>
      </c>
      <c r="M8" s="12">
        <v>1.054034229828851</v>
      </c>
      <c r="N8" s="12">
        <v>1.054034229828851</v>
      </c>
      <c r="O8" s="12">
        <v>1.054034229828851</v>
      </c>
      <c r="P8" s="12">
        <v>1.054034229828851</v>
      </c>
      <c r="Q8" s="12">
        <v>1.054034229828851</v>
      </c>
      <c r="R8" s="12">
        <v>1.054034229828851</v>
      </c>
    </row>
    <row r="9" spans="1:18">
      <c r="A9" t="s">
        <v>66</v>
      </c>
      <c r="B9" s="10">
        <v>7</v>
      </c>
      <c r="C9" s="10">
        <v>3693</v>
      </c>
      <c r="D9" s="10">
        <v>2346</v>
      </c>
      <c r="E9" s="12">
        <f>D9/C9</f>
        <v>0.6352558895207149</v>
      </c>
      <c r="F9" s="12">
        <v>1</v>
      </c>
      <c r="G9" s="12">
        <v>0.9054968860005416</v>
      </c>
      <c r="H9" s="12">
        <v>0.8109937720010831</v>
      </c>
      <c r="I9" s="12">
        <v>0.8109937720010831</v>
      </c>
      <c r="J9" s="12">
        <v>0.8109937720010831</v>
      </c>
      <c r="K9" s="12">
        <v>0.8109937720010831</v>
      </c>
      <c r="L9" s="12">
        <v>0.8109937720010831</v>
      </c>
      <c r="M9" s="12">
        <v>0.5134037367993501</v>
      </c>
      <c r="N9" s="12">
        <v>0.5134037367993501</v>
      </c>
      <c r="O9" s="12">
        <v>0.5134037367993501</v>
      </c>
      <c r="P9" s="12">
        <v>0.5134037367993501</v>
      </c>
      <c r="Q9" s="12">
        <v>0.6352558895207149</v>
      </c>
      <c r="R9" s="12">
        <v>0.6352558895207149</v>
      </c>
    </row>
    <row r="10" spans="1:18">
      <c r="A10" t="s">
        <v>67</v>
      </c>
      <c r="B10" s="10">
        <v>7</v>
      </c>
      <c r="C10" s="10">
        <v>3752</v>
      </c>
      <c r="D10" s="10">
        <v>3856</v>
      </c>
      <c r="E10" s="12">
        <f>D10/C10</f>
        <v>1.0277185501066097</v>
      </c>
      <c r="F10" s="12">
        <v>1</v>
      </c>
      <c r="G10" s="12">
        <v>0.8270255863539445</v>
      </c>
      <c r="H10" s="12">
        <v>0.8270255863539445</v>
      </c>
      <c r="I10" s="12">
        <v>0.8270255863539445</v>
      </c>
      <c r="J10" s="12">
        <v>0.8270255863539445</v>
      </c>
      <c r="K10" s="12">
        <v>0.8270255863539445</v>
      </c>
      <c r="L10" s="12">
        <v>0.8270255863539445</v>
      </c>
      <c r="M10" s="12">
        <v>0.8270255863539445</v>
      </c>
      <c r="N10" s="12">
        <v>0.8270255863539445</v>
      </c>
      <c r="O10" s="12">
        <v>0.8270255863539445</v>
      </c>
      <c r="P10" s="12">
        <v>0.8270255863539445</v>
      </c>
      <c r="Q10" s="12">
        <v>0.8270255863539445</v>
      </c>
      <c r="R10" s="12">
        <v>1.02771855010661</v>
      </c>
    </row>
    <row r="11" spans="1:18">
      <c r="A11" t="s">
        <v>68</v>
      </c>
      <c r="B11" s="10">
        <v>9</v>
      </c>
      <c r="C11" s="10">
        <v>5277</v>
      </c>
      <c r="D11" s="10">
        <v>4125</v>
      </c>
      <c r="E11" s="12">
        <f>D11/C11</f>
        <v>0.7816941444002274</v>
      </c>
      <c r="F11" s="12">
        <v>1</v>
      </c>
      <c r="G11" s="12">
        <v>0.9338639378434717</v>
      </c>
      <c r="H11" s="12">
        <v>0.9992419935569452</v>
      </c>
      <c r="I11" s="12">
        <v>0.9992419935569452</v>
      </c>
      <c r="J11" s="12">
        <v>0.9992419935569452</v>
      </c>
      <c r="K11" s="12">
        <v>0.9992419935569452</v>
      </c>
      <c r="L11" s="12">
        <v>0.9992419935569452</v>
      </c>
      <c r="M11" s="12">
        <v>0.9992419935569452</v>
      </c>
      <c r="N11" s="12">
        <v>0.9899564146295243</v>
      </c>
      <c r="O11" s="12">
        <v>0.9899564146295243</v>
      </c>
      <c r="P11" s="12">
        <v>0.9899564146295243</v>
      </c>
      <c r="Q11" s="12">
        <v>0.9899564146295243</v>
      </c>
      <c r="R11" s="12">
        <v>0.7816941444002274</v>
      </c>
    </row>
    <row r="12" spans="1:18">
      <c r="A12" t="s">
        <v>69</v>
      </c>
      <c r="B12" s="10">
        <v>10</v>
      </c>
      <c r="C12" s="10">
        <v>5267</v>
      </c>
      <c r="D12" s="10">
        <v>4608</v>
      </c>
      <c r="E12" s="12">
        <f>D12/C12</f>
        <v>0.8748813366242643</v>
      </c>
      <c r="F12" s="12">
        <v>1</v>
      </c>
      <c r="G12" s="12">
        <v>0.8735523068160242</v>
      </c>
      <c r="H12" s="12">
        <v>0.9589899373457376</v>
      </c>
      <c r="I12" s="12">
        <v>0.8357698879817733</v>
      </c>
      <c r="J12" s="12">
        <v>0.8357698879817733</v>
      </c>
      <c r="K12" s="12">
        <v>0.8357698879817733</v>
      </c>
      <c r="L12" s="12">
        <v>0.8357698879817733</v>
      </c>
      <c r="M12" s="12">
        <v>0.712549838617809</v>
      </c>
      <c r="N12" s="12">
        <v>0.7894437060945509</v>
      </c>
      <c r="O12" s="12">
        <v>0.8748813366242643</v>
      </c>
      <c r="P12" s="12">
        <v>0.8748813366242643</v>
      </c>
      <c r="Q12" s="12">
        <v>0.8748813366242643</v>
      </c>
      <c r="R12" s="12">
        <v>0.8748813366242643</v>
      </c>
    </row>
    <row r="13" spans="1:18">
      <c r="A13" t="s">
        <v>70</v>
      </c>
      <c r="B13" s="10">
        <v>11</v>
      </c>
      <c r="C13" s="10">
        <v>6250</v>
      </c>
      <c r="D13" s="10">
        <v>5252</v>
      </c>
      <c r="E13" s="12">
        <f>D13/C13</f>
        <v>0.84032</v>
      </c>
      <c r="F13" s="12">
        <v>1</v>
      </c>
      <c r="G13" s="12">
        <v>0.84032</v>
      </c>
      <c r="H13" s="12">
        <v>0.84032</v>
      </c>
      <c r="I13" s="12">
        <v>0.84032</v>
      </c>
      <c r="J13" s="12">
        <v>0.84032</v>
      </c>
      <c r="K13" s="12">
        <v>0.84032</v>
      </c>
      <c r="L13" s="12">
        <v>0.84032</v>
      </c>
      <c r="M13" s="12">
        <v>0.84032</v>
      </c>
      <c r="N13" s="12">
        <v>0.84032</v>
      </c>
      <c r="O13" s="12">
        <v>0.84032</v>
      </c>
      <c r="P13" s="12">
        <v>0.84032</v>
      </c>
      <c r="Q13" s="12">
        <v>0.84032</v>
      </c>
      <c r="R13" s="12">
        <v>0.84032</v>
      </c>
    </row>
    <row r="14" spans="1:18">
      <c r="A14" s="2" t="s">
        <v>173</v>
      </c>
      <c r="B14" s="11">
        <f>SUM(B5:B13)</f>
        <v>68</v>
      </c>
      <c r="C14" s="11">
        <f>SUM(C5:C13)</f>
        <v>38702</v>
      </c>
      <c r="D14" s="11">
        <f>SUM(D5:D13)</f>
        <v>33790</v>
      </c>
      <c r="E14" s="7">
        <f>D14/C14</f>
        <v>0.8730814944964085</v>
      </c>
    </row>
    <row r="16" spans="1:18">
      <c r="A16" s="3" t="s">
        <v>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cols>
    <col min="1" max="1" width="30.7109375" customWidth="1"/>
    <col min="2" max="2" width="20.7109375" customWidth="1"/>
    <col min="3" max="6" width="18.7109375" customWidth="1"/>
  </cols>
  <sheetData>
    <row r="1" spans="1:5">
      <c r="A1" s="1" t="s">
        <v>174</v>
      </c>
    </row>
    <row r="2" spans="1:5">
      <c r="A2" s="3" t="s">
        <v>175</v>
      </c>
    </row>
    <row r="4" spans="1:5">
      <c r="A4" s="4" t="s">
        <v>176</v>
      </c>
      <c r="B4" s="4" t="s">
        <v>177</v>
      </c>
      <c r="C4" s="4" t="s">
        <v>178</v>
      </c>
      <c r="D4" s="4" t="s">
        <v>179</v>
      </c>
      <c r="E4" s="4" t="s">
        <v>180</v>
      </c>
    </row>
    <row r="5" spans="1:5">
      <c r="A5" t="s">
        <v>181</v>
      </c>
      <c r="B5" t="s">
        <v>182</v>
      </c>
      <c r="C5" t="s">
        <v>83</v>
      </c>
      <c r="D5" s="10">
        <v>191000</v>
      </c>
      <c r="E5" s="10">
        <f>D5*LOAD_FACTOR/12</f>
        <v>20373.333333333332</v>
      </c>
    </row>
    <row r="6" spans="1:5">
      <c r="A6" t="s">
        <v>183</v>
      </c>
      <c r="B6" t="s">
        <v>184</v>
      </c>
      <c r="C6" t="s">
        <v>83</v>
      </c>
      <c r="D6" s="10">
        <v>139000</v>
      </c>
      <c r="E6" s="10">
        <f>D6*LOAD_FACTOR/12</f>
        <v>14826.666666666666</v>
      </c>
    </row>
    <row r="7" spans="1:5">
      <c r="A7" t="s">
        <v>185</v>
      </c>
      <c r="B7" t="s">
        <v>182</v>
      </c>
      <c r="C7" t="s">
        <v>85</v>
      </c>
      <c r="D7" s="10">
        <v>189000</v>
      </c>
      <c r="E7" s="10">
        <f>D7*LOAD_FACTOR/12</f>
        <v>20160.0</v>
      </c>
    </row>
    <row r="8" spans="1:5">
      <c r="A8" t="s">
        <v>186</v>
      </c>
      <c r="B8" t="s">
        <v>187</v>
      </c>
      <c r="C8" t="s">
        <v>85</v>
      </c>
      <c r="D8" s="10">
        <v>141000</v>
      </c>
      <c r="E8" s="10">
        <f>D8*LOAD_FACTOR/12</f>
        <v>15040.0</v>
      </c>
    </row>
    <row r="9" spans="1:5">
      <c r="A9" t="s">
        <v>188</v>
      </c>
      <c r="B9" t="s">
        <v>182</v>
      </c>
      <c r="C9" t="s">
        <v>86</v>
      </c>
      <c r="D9" s="10">
        <v>173500</v>
      </c>
      <c r="E9" s="10">
        <f>D9*LOAD_FACTOR/12</f>
        <v>18506.666666666668</v>
      </c>
    </row>
    <row r="10" spans="1:5">
      <c r="A10" t="s">
        <v>189</v>
      </c>
      <c r="B10" t="s">
        <v>184</v>
      </c>
      <c r="C10" t="s">
        <v>86</v>
      </c>
      <c r="D10" s="10">
        <v>156500</v>
      </c>
      <c r="E10" s="10">
        <f>D10*LOAD_FACTOR/12</f>
        <v>16693.333333333332</v>
      </c>
    </row>
    <row r="11" spans="1:5">
      <c r="A11" t="s">
        <v>190</v>
      </c>
      <c r="B11" t="s">
        <v>187</v>
      </c>
      <c r="C11" t="s">
        <v>87</v>
      </c>
      <c r="D11" s="10">
        <v>211000</v>
      </c>
      <c r="E11" s="10">
        <f>D11*LOAD_FACTOR/12</f>
        <v>22506.666666666668</v>
      </c>
    </row>
    <row r="12" spans="1:5">
      <c r="A12" t="s">
        <v>191</v>
      </c>
      <c r="B12" t="s">
        <v>192</v>
      </c>
      <c r="C12" t="s">
        <v>87</v>
      </c>
      <c r="D12" s="10">
        <v>119000</v>
      </c>
      <c r="E12" s="10">
        <f>D12*LOAD_FACTOR/12</f>
        <v>12693.333333333334</v>
      </c>
    </row>
    <row r="13" spans="1:5">
      <c r="A13" t="s">
        <v>193</v>
      </c>
      <c r="B13" t="s">
        <v>182</v>
      </c>
      <c r="C13" t="s">
        <v>88</v>
      </c>
      <c r="D13" s="10">
        <v>179000</v>
      </c>
      <c r="E13" s="10">
        <f>D13*LOAD_FACTOR/12</f>
        <v>19093.333333333332</v>
      </c>
    </row>
    <row r="14" spans="1:5">
      <c r="A14" t="s">
        <v>194</v>
      </c>
      <c r="B14" t="s">
        <v>195</v>
      </c>
      <c r="C14" t="s">
        <v>88</v>
      </c>
      <c r="D14" s="10">
        <v>151000</v>
      </c>
      <c r="E14" s="10">
        <f>D14*LOAD_FACTOR/12</f>
        <v>16106.666666666666</v>
      </c>
    </row>
    <row r="15" spans="1:5">
      <c r="A15" t="s">
        <v>196</v>
      </c>
      <c r="B15" t="s">
        <v>182</v>
      </c>
      <c r="C15" t="s">
        <v>89</v>
      </c>
      <c r="D15" s="10">
        <v>194500</v>
      </c>
      <c r="E15" s="10">
        <f>D15*LOAD_FACTOR/12</f>
        <v>20746.666666666668</v>
      </c>
    </row>
    <row r="16" spans="1:5">
      <c r="A16" t="s">
        <v>191</v>
      </c>
      <c r="B16" t="s">
        <v>192</v>
      </c>
      <c r="C16" t="s">
        <v>89</v>
      </c>
      <c r="D16" s="10">
        <v>135500</v>
      </c>
      <c r="E16" s="10">
        <f>D16*LOAD_FACTOR/12</f>
        <v>14453.333333333334</v>
      </c>
    </row>
    <row r="17" spans="1:5">
      <c r="A17" t="s">
        <v>197</v>
      </c>
      <c r="B17" t="s">
        <v>182</v>
      </c>
      <c r="C17" t="s">
        <v>90</v>
      </c>
      <c r="D17" s="10">
        <v>170500</v>
      </c>
      <c r="E17" s="10">
        <f>D17*LOAD_FACTOR/12</f>
        <v>18186.666666666668</v>
      </c>
    </row>
    <row r="18" spans="1:5">
      <c r="A18" t="s">
        <v>186</v>
      </c>
      <c r="B18" t="s">
        <v>187</v>
      </c>
      <c r="C18" t="s">
        <v>90</v>
      </c>
      <c r="D18" s="10">
        <v>159500</v>
      </c>
      <c r="E18" s="10">
        <f>D18*LOAD_FACTOR/12</f>
        <v>17013.333333333332</v>
      </c>
    </row>
    <row r="19" spans="1:5">
      <c r="A19" t="s">
        <v>198</v>
      </c>
      <c r="B19" t="s">
        <v>182</v>
      </c>
      <c r="C19" t="s">
        <v>91</v>
      </c>
      <c r="D19" s="10">
        <v>203000</v>
      </c>
      <c r="E19" s="10">
        <f>D19*LOAD_FACTOR/12</f>
        <v>21653.333333333332</v>
      </c>
    </row>
    <row r="20" spans="1:5">
      <c r="A20" t="s">
        <v>189</v>
      </c>
      <c r="B20" t="s">
        <v>184</v>
      </c>
      <c r="C20" t="s">
        <v>91</v>
      </c>
      <c r="D20" s="10">
        <v>127000</v>
      </c>
      <c r="E20" s="10">
        <f>D20*LOAD_FACTOR/12</f>
        <v>13546.666666666666</v>
      </c>
    </row>
    <row r="21" spans="1:5">
      <c r="A21" t="s">
        <v>185</v>
      </c>
      <c r="B21" t="s">
        <v>182</v>
      </c>
      <c r="C21" t="s">
        <v>92</v>
      </c>
      <c r="D21" s="10">
        <v>188000</v>
      </c>
      <c r="E21" s="10">
        <f>D21*LOAD_FACTOR/12</f>
        <v>20053.333333333332</v>
      </c>
    </row>
    <row r="22" spans="1:5">
      <c r="A22" t="s">
        <v>199</v>
      </c>
      <c r="B22" t="s">
        <v>118</v>
      </c>
      <c r="C22" t="s">
        <v>92</v>
      </c>
      <c r="D22" s="10">
        <v>142000</v>
      </c>
      <c r="E22" s="10">
        <f>D22*LOAD_FACTOR/12</f>
        <v>15146.666666666666</v>
      </c>
    </row>
    <row r="23" spans="1:5">
      <c r="A23" t="s">
        <v>200</v>
      </c>
      <c r="B23" t="s">
        <v>182</v>
      </c>
      <c r="C23" t="s">
        <v>93</v>
      </c>
      <c r="D23" s="10">
        <v>154500</v>
      </c>
      <c r="E23" s="10">
        <f>D23*LOAD_FACTOR/12</f>
        <v>16480.0</v>
      </c>
    </row>
    <row r="24" spans="1:5">
      <c r="A24" t="s">
        <v>186</v>
      </c>
      <c r="B24" t="s">
        <v>187</v>
      </c>
      <c r="C24" t="s">
        <v>93</v>
      </c>
      <c r="D24" s="10">
        <v>175500</v>
      </c>
      <c r="E24" s="10">
        <f>D24*LOAD_FACTOR/12</f>
        <v>18720.0</v>
      </c>
    </row>
    <row r="25" spans="1:5">
      <c r="A25" t="s">
        <v>201</v>
      </c>
      <c r="B25" t="s">
        <v>187</v>
      </c>
      <c r="C25" t="s">
        <v>94</v>
      </c>
      <c r="D25" s="10">
        <v>178500</v>
      </c>
      <c r="E25" s="10">
        <f>D25*LOAD_FACTOR/12</f>
        <v>19040.0</v>
      </c>
    </row>
    <row r="26" spans="1:5">
      <c r="A26" t="s">
        <v>202</v>
      </c>
      <c r="B26" t="s">
        <v>192</v>
      </c>
      <c r="C26" t="s">
        <v>94</v>
      </c>
      <c r="D26" s="10">
        <v>151500</v>
      </c>
      <c r="E26" s="10">
        <f>D26*LOAD_FACTOR/12</f>
        <v>16160.0</v>
      </c>
    </row>
    <row r="27" spans="1:5">
      <c r="A27" t="s">
        <v>203</v>
      </c>
      <c r="B27" t="s">
        <v>182</v>
      </c>
      <c r="C27" t="s">
        <v>95</v>
      </c>
      <c r="D27" s="10">
        <v>187000</v>
      </c>
      <c r="E27" s="10">
        <f>D27*LOAD_FACTOR/12</f>
        <v>19946.666666666668</v>
      </c>
    </row>
    <row r="28" spans="1:5">
      <c r="A28" t="s">
        <v>204</v>
      </c>
      <c r="B28" t="s">
        <v>118</v>
      </c>
      <c r="C28" t="s">
        <v>95</v>
      </c>
      <c r="D28" s="10">
        <v>143000</v>
      </c>
      <c r="E28" s="10">
        <f>D28*LOAD_FACTOR/12</f>
        <v>15253.333333333334</v>
      </c>
    </row>
    <row r="29" spans="1:5">
      <c r="A29" s="2" t="s">
        <v>205</v>
      </c>
      <c r="B29" s="6">
        <f>COUNTA(A5:A28)</f>
        <v>24</v>
      </c>
    </row>
    <row r="30" spans="1:5">
      <c r="A30" s="2" t="s">
        <v>206</v>
      </c>
      <c r="B30" s="10">
        <f>STAFF_NOW+B29</f>
        <v>41</v>
      </c>
    </row>
    <row r="32" spans="1:5">
      <c r="A32" s="3" t="s">
        <v>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70"/>
  <sheetViews>
    <sheetView workbookViewId="0"/>
  </sheetViews>
  <sheetFormatPr defaultRowHeight="15"/>
  <cols>
    <col min="1" max="1" width="44.7109375" customWidth="1"/>
    <col min="2" max="10" width="16.7109375" customWidth="1"/>
  </cols>
  <sheetData>
    <row r="1" spans="1:10">
      <c r="A1" s="1" t="s">
        <v>207</v>
      </c>
    </row>
    <row r="3" spans="1:10">
      <c r="A3" s="2" t="s">
        <v>208</v>
      </c>
      <c r="B3" s="6">
        <f>COUNTIF(J9:J68,"&gt;0")</f>
        <v>19</v>
      </c>
    </row>
    <row r="4" spans="1:10">
      <c r="A4" s="2" t="s">
        <v>209</v>
      </c>
      <c r="B4" s="6">
        <f>AVERAGE(H9:H20)</f>
        <v>493524.84266848187</v>
      </c>
    </row>
    <row r="5" spans="1:10">
      <c r="A5" s="2" t="s">
        <v>24</v>
      </c>
      <c r="B5" s="6">
        <f>CASH_START</f>
        <v>1800000</v>
      </c>
    </row>
    <row r="7" spans="1:10">
      <c r="A7" s="4" t="s">
        <v>150</v>
      </c>
      <c r="B7" s="4" t="s">
        <v>210</v>
      </c>
      <c r="C7" s="4" t="s">
        <v>211</v>
      </c>
      <c r="D7" s="4" t="s">
        <v>102</v>
      </c>
      <c r="E7" s="4" t="s">
        <v>123</v>
      </c>
      <c r="F7" s="4" t="s">
        <v>212</v>
      </c>
      <c r="G7" s="4" t="s">
        <v>116</v>
      </c>
      <c r="H7" s="4" t="s">
        <v>213</v>
      </c>
      <c r="I7" s="4" t="s">
        <v>214</v>
      </c>
      <c r="J7" s="4" t="s">
        <v>215</v>
      </c>
    </row>
    <row r="8" spans="1:10">
      <c r="A8" t="s">
        <v>82</v>
      </c>
      <c r="B8" s="10">
        <v>0</v>
      </c>
      <c r="J8" s="10">
        <f>CASH_START</f>
        <v>1800000</v>
      </c>
    </row>
    <row r="9" spans="1:10">
      <c r="A9" t="s">
        <v>83</v>
      </c>
      <c r="B9" s="10">
        <v>1</v>
      </c>
      <c r="C9" s="10">
        <v>177749.865</v>
      </c>
      <c r="D9" s="10">
        <v>35549.973</v>
      </c>
      <c r="E9" s="10">
        <v>289066.6666666667</v>
      </c>
      <c r="F9" s="10">
        <v>78891.29000000001</v>
      </c>
      <c r="G9" s="10">
        <v>0</v>
      </c>
      <c r="H9" s="10">
        <f>D9+E9+F9+G9-C9</f>
        <v>225758.06466666667</v>
      </c>
      <c r="I9" s="10">
        <v>0</v>
      </c>
      <c r="J9" s="10">
        <f>J8+I9-H9</f>
        <v>1574241.9353333334</v>
      </c>
    </row>
    <row r="10" spans="1:10">
      <c r="A10" t="s">
        <v>85</v>
      </c>
      <c r="B10" s="10">
        <v>2</v>
      </c>
      <c r="C10" s="10">
        <v>183971.110275</v>
      </c>
      <c r="D10" s="10">
        <v>36794.222055</v>
      </c>
      <c r="E10" s="10">
        <v>324266.6666666667</v>
      </c>
      <c r="F10" s="10">
        <v>78891.29000000001</v>
      </c>
      <c r="G10" s="10">
        <v>0</v>
      </c>
      <c r="H10" s="10">
        <f>D10+E10+F10+G10-C10</f>
        <v>255981.0684466667</v>
      </c>
      <c r="I10" s="10">
        <v>0</v>
      </c>
      <c r="J10" s="10">
        <f>J9+I10-H10</f>
        <v>1318260.8668866667</v>
      </c>
    </row>
    <row r="11" spans="1:10">
      <c r="A11" t="s">
        <v>86</v>
      </c>
      <c r="B11" s="10">
        <v>3</v>
      </c>
      <c r="C11" s="10">
        <v>190410.099134625</v>
      </c>
      <c r="D11" s="10">
        <v>38082.019826925</v>
      </c>
      <c r="E11" s="10">
        <v>359466.6666666666</v>
      </c>
      <c r="F11" s="10">
        <v>78891.29000000001</v>
      </c>
      <c r="G11" s="10">
        <v>0</v>
      </c>
      <c r="H11" s="10">
        <f>D11+E11+F11+G11-C11</f>
        <v>286029.8773589666</v>
      </c>
      <c r="I11" s="10">
        <v>0</v>
      </c>
      <c r="J11" s="10">
        <f>J10+I11-H11</f>
        <v>1032230.9895277001</v>
      </c>
    </row>
    <row r="12" spans="1:10">
      <c r="A12" t="s">
        <v>87</v>
      </c>
      <c r="B12" s="10">
        <v>4</v>
      </c>
      <c r="C12" s="10">
        <v>197074.4526043368</v>
      </c>
      <c r="D12" s="10">
        <v>39414.89052086736</v>
      </c>
      <c r="E12" s="10">
        <v>394666.6666666666</v>
      </c>
      <c r="F12" s="10">
        <v>78891.29000000001</v>
      </c>
      <c r="G12" s="10">
        <v>140000</v>
      </c>
      <c r="H12" s="10">
        <f>D12+E12+F12+G12-C12</f>
        <v>455898.3945831971</v>
      </c>
      <c r="I12" s="10">
        <v>9000000</v>
      </c>
      <c r="J12" s="10">
        <f>J11+I12-H12</f>
        <v>9576332.594944503</v>
      </c>
    </row>
    <row r="13" spans="1:10">
      <c r="A13" t="s">
        <v>88</v>
      </c>
      <c r="B13" s="10">
        <v>5</v>
      </c>
      <c r="C13" s="10">
        <v>203972.0584454886</v>
      </c>
      <c r="D13" s="10">
        <v>40794.41168909772</v>
      </c>
      <c r="E13" s="10">
        <v>429866.6666666666</v>
      </c>
      <c r="F13" s="10">
        <v>78891.29000000001</v>
      </c>
      <c r="G13" s="10">
        <v>140000</v>
      </c>
      <c r="H13" s="10">
        <f>D13+E13+F13+G13-C13</f>
        <v>485580.30991027574</v>
      </c>
      <c r="I13" s="10">
        <v>0</v>
      </c>
      <c r="J13" s="10">
        <f>J12+I13-H13</f>
        <v>9090752.285034228</v>
      </c>
    </row>
    <row r="14" spans="1:10">
      <c r="A14" t="s">
        <v>89</v>
      </c>
      <c r="B14" s="10">
        <v>6</v>
      </c>
      <c r="C14" s="10">
        <v>211111.0804910806</v>
      </c>
      <c r="D14" s="10">
        <v>42222.21609821613</v>
      </c>
      <c r="E14" s="10">
        <v>465066.6666666666</v>
      </c>
      <c r="F14" s="10">
        <v>78891.29000000001</v>
      </c>
      <c r="G14" s="10">
        <v>140000</v>
      </c>
      <c r="H14" s="10">
        <f>D14+E14+F14+G14-C14</f>
        <v>515069.09227380203</v>
      </c>
      <c r="I14" s="10">
        <v>0</v>
      </c>
      <c r="J14" s="10">
        <f>J13+I14-H14</f>
        <v>8575683.192760427</v>
      </c>
    </row>
    <row r="15" spans="1:10">
      <c r="A15" t="s">
        <v>90</v>
      </c>
      <c r="B15" s="10">
        <v>7</v>
      </c>
      <c r="C15" s="10">
        <v>218499.9683082685</v>
      </c>
      <c r="D15" s="10">
        <v>43699.99366165369</v>
      </c>
      <c r="E15" s="10">
        <v>500266.6666666666</v>
      </c>
      <c r="F15" s="10">
        <v>78891.29000000001</v>
      </c>
      <c r="G15" s="10">
        <v>140000</v>
      </c>
      <c r="H15" s="10">
        <f>D15+E15+F15+G15-C15</f>
        <v>544357.9820200518</v>
      </c>
      <c r="I15" s="10">
        <v>0</v>
      </c>
      <c r="J15" s="10">
        <f>J14+I15-H15</f>
        <v>8031325.210740374</v>
      </c>
    </row>
    <row r="16" spans="1:10">
      <c r="A16" t="s">
        <v>91</v>
      </c>
      <c r="B16" s="10">
        <v>8</v>
      </c>
      <c r="C16" s="10">
        <v>226147.4671990578</v>
      </c>
      <c r="D16" s="10">
        <v>45229.49343981157</v>
      </c>
      <c r="E16" s="10">
        <v>535466.6666666666</v>
      </c>
      <c r="F16" s="10">
        <v>78891.29000000001</v>
      </c>
      <c r="G16" s="10">
        <v>140000</v>
      </c>
      <c r="H16" s="10">
        <f>D16+E16+F16+G16-C16</f>
        <v>573439.9829074204</v>
      </c>
      <c r="I16" s="10">
        <v>0</v>
      </c>
      <c r="J16" s="10">
        <f>J15+I16-H16</f>
        <v>7457885.227832954</v>
      </c>
    </row>
    <row r="17" spans="1:10">
      <c r="A17" t="s">
        <v>92</v>
      </c>
      <c r="B17" s="10">
        <v>9</v>
      </c>
      <c r="C17" s="10">
        <v>234062.6285510248</v>
      </c>
      <c r="D17" s="10">
        <v>46812.52571020497</v>
      </c>
      <c r="E17" s="10">
        <v>570666.6666666666</v>
      </c>
      <c r="F17" s="10">
        <v>78891.29000000001</v>
      </c>
      <c r="G17" s="10">
        <v>140000</v>
      </c>
      <c r="H17" s="10">
        <f>D17+E17+F17+G17-C17</f>
        <v>602307.8538258468</v>
      </c>
      <c r="I17" s="10">
        <v>0</v>
      </c>
      <c r="J17" s="10">
        <f>J16+I17-H17</f>
        <v>6855577.374007108</v>
      </c>
    </row>
    <row r="18" spans="1:10">
      <c r="A18" t="s">
        <v>93</v>
      </c>
      <c r="B18" s="10">
        <v>10</v>
      </c>
      <c r="C18" s="10">
        <v>242254.8205503107</v>
      </c>
      <c r="D18" s="10">
        <v>48450.96411006214</v>
      </c>
      <c r="E18" s="10">
        <v>605866.6666666666</v>
      </c>
      <c r="F18" s="10">
        <v>78891.29000000001</v>
      </c>
      <c r="G18" s="10">
        <v>140000</v>
      </c>
      <c r="H18" s="10">
        <f>D18+E18+F18+G18-C18</f>
        <v>630954.1002264181</v>
      </c>
      <c r="I18" s="10">
        <v>0</v>
      </c>
      <c r="J18" s="10">
        <f>J17+I18-H18</f>
        <v>6224623.27378069</v>
      </c>
    </row>
    <row r="19" spans="1:10">
      <c r="A19" t="s">
        <v>94</v>
      </c>
      <c r="B19" s="10">
        <v>11</v>
      </c>
      <c r="C19" s="10">
        <v>250733.7392695716</v>
      </c>
      <c r="D19" s="10">
        <v>50146.7478539143</v>
      </c>
      <c r="E19" s="10">
        <v>641066.6666666666</v>
      </c>
      <c r="F19" s="10">
        <v>78891.29000000001</v>
      </c>
      <c r="G19" s="10">
        <v>140000</v>
      </c>
      <c r="H19" s="10">
        <f>D19+E19+F19+G19-C19</f>
        <v>659370.9652510094</v>
      </c>
      <c r="I19" s="10">
        <v>0</v>
      </c>
      <c r="J19" s="10">
        <f>J18+I19-H19</f>
        <v>5565252.308529681</v>
      </c>
    </row>
    <row r="20" spans="1:10">
      <c r="A20" t="s">
        <v>95</v>
      </c>
      <c r="B20" s="10">
        <v>12</v>
      </c>
      <c r="C20" s="10">
        <v>259509.4201440066</v>
      </c>
      <c r="D20" s="10">
        <v>51901.88402880131</v>
      </c>
      <c r="E20" s="10">
        <v>676266.6666666666</v>
      </c>
      <c r="F20" s="10">
        <v>78891.29000000001</v>
      </c>
      <c r="G20" s="10">
        <v>140000</v>
      </c>
      <c r="H20" s="10">
        <f>D20+E20+F20+G20-C20</f>
        <v>687550.4205514614</v>
      </c>
      <c r="I20" s="10">
        <v>0</v>
      </c>
      <c r="J20" s="10">
        <f>J19+I20-H20</f>
        <v>4877701.887978219</v>
      </c>
    </row>
    <row r="21" spans="1:10">
      <c r="A21" t="s">
        <v>216</v>
      </c>
      <c r="B21" s="10">
        <v>13</v>
      </c>
      <c r="C21" s="10">
        <v>268592.2498490468</v>
      </c>
      <c r="D21" s="10">
        <v>53718.44996980935</v>
      </c>
      <c r="E21" s="10">
        <v>676266.6666666666</v>
      </c>
      <c r="F21" s="10">
        <v>78891.29000000001</v>
      </c>
      <c r="G21" s="10">
        <v>140000</v>
      </c>
      <c r="H21" s="10">
        <f>D21+E21+F21+G21-C21</f>
        <v>680284.1567874292</v>
      </c>
      <c r="I21" s="10">
        <v>0</v>
      </c>
      <c r="J21" s="10">
        <f>J20+I21-H21</f>
        <v>4197417.73119079</v>
      </c>
    </row>
    <row r="22" spans="1:10">
      <c r="A22" t="s">
        <v>217</v>
      </c>
      <c r="B22" s="10">
        <v>14</v>
      </c>
      <c r="C22" s="10">
        <v>277992.9785937634</v>
      </c>
      <c r="D22" s="10">
        <v>55598.59571875267</v>
      </c>
      <c r="E22" s="10">
        <v>676266.6666666666</v>
      </c>
      <c r="F22" s="10">
        <v>78891.29000000001</v>
      </c>
      <c r="G22" s="10">
        <v>140000</v>
      </c>
      <c r="H22" s="10">
        <f>D22+E22+F22+G22-C22</f>
        <v>672763.573791656</v>
      </c>
      <c r="I22" s="10">
        <v>0</v>
      </c>
      <c r="J22" s="10">
        <f>J21+I22-H22</f>
        <v>3524654.1573991347</v>
      </c>
    </row>
    <row r="23" spans="1:10">
      <c r="A23" t="s">
        <v>218</v>
      </c>
      <c r="B23" s="10">
        <v>15</v>
      </c>
      <c r="C23" s="10">
        <v>287722.732844545</v>
      </c>
      <c r="D23" s="10">
        <v>57544.54656890901</v>
      </c>
      <c r="E23" s="10">
        <v>676266.6666666666</v>
      </c>
      <c r="F23" s="10">
        <v>78891.29000000001</v>
      </c>
      <c r="G23" s="10">
        <v>140000</v>
      </c>
      <c r="H23" s="10">
        <f>D23+E23+F23+G23-C23</f>
        <v>664979.7703910306</v>
      </c>
      <c r="I23" s="10">
        <v>0</v>
      </c>
      <c r="J23" s="10">
        <f>J22+I23-H23</f>
        <v>2859674.387008104</v>
      </c>
    </row>
    <row r="24" spans="1:10">
      <c r="A24" t="s">
        <v>219</v>
      </c>
      <c r="B24" s="10">
        <v>16</v>
      </c>
      <c r="C24" s="10">
        <v>297793.0284941041</v>
      </c>
      <c r="D24" s="10">
        <v>59558.60569882081</v>
      </c>
      <c r="E24" s="10">
        <v>676266.6666666666</v>
      </c>
      <c r="F24" s="10">
        <v>78891.29000000001</v>
      </c>
      <c r="G24" s="10">
        <v>140000</v>
      </c>
      <c r="H24" s="10">
        <f>D24+E24+F24+G24-C24</f>
        <v>656923.5338713834</v>
      </c>
      <c r="I24" s="10">
        <v>0</v>
      </c>
      <c r="J24" s="10">
        <f>J23+I24-H24</f>
        <v>2202750.8531367206</v>
      </c>
    </row>
    <row r="25" spans="1:10">
      <c r="A25" t="s">
        <v>220</v>
      </c>
      <c r="B25" s="10">
        <v>17</v>
      </c>
      <c r="C25" s="10">
        <v>308215.7844913977</v>
      </c>
      <c r="D25" s="10">
        <v>61643.15689827955</v>
      </c>
      <c r="E25" s="10">
        <v>676266.6666666666</v>
      </c>
      <c r="F25" s="10">
        <v>78891.29000000001</v>
      </c>
      <c r="G25" s="10">
        <v>140000</v>
      </c>
      <c r="H25" s="10">
        <f>D25+E25+F25+G25-C25</f>
        <v>648585.3290735485</v>
      </c>
      <c r="I25" s="10">
        <v>0</v>
      </c>
      <c r="J25" s="10">
        <f>J24+I25-H25</f>
        <v>1554165.524063172</v>
      </c>
    </row>
    <row r="26" spans="1:10">
      <c r="A26" t="s">
        <v>221</v>
      </c>
      <c r="B26" s="10">
        <v>18</v>
      </c>
      <c r="C26" s="10">
        <v>319003.3369485966</v>
      </c>
      <c r="D26" s="10">
        <v>63800.66738971933</v>
      </c>
      <c r="E26" s="10">
        <v>676266.6666666666</v>
      </c>
      <c r="F26" s="10">
        <v>78891.29000000001</v>
      </c>
      <c r="G26" s="10">
        <v>140000</v>
      </c>
      <c r="H26" s="10">
        <f>D26+E26+F26+G26-C26</f>
        <v>639955.2871077893</v>
      </c>
      <c r="I26" s="10">
        <v>0</v>
      </c>
      <c r="J26" s="10">
        <f>J25+I26-H26</f>
        <v>914210.2369553827</v>
      </c>
    </row>
    <row r="27" spans="1:10">
      <c r="A27" t="s">
        <v>222</v>
      </c>
      <c r="B27" s="10">
        <v>19</v>
      </c>
      <c r="C27" s="10">
        <v>330168.4537417975</v>
      </c>
      <c r="D27" s="10">
        <v>66033.6907483595</v>
      </c>
      <c r="E27" s="10">
        <v>676266.6666666666</v>
      </c>
      <c r="F27" s="10">
        <v>78891.29000000001</v>
      </c>
      <c r="G27" s="10">
        <v>140000</v>
      </c>
      <c r="H27" s="10">
        <f>D27+E27+F27+G27-C27</f>
        <v>631023.1936732287</v>
      </c>
      <c r="I27" s="10">
        <v>0</v>
      </c>
      <c r="J27" s="10">
        <f>J26+I27-H27</f>
        <v>283187.043282154</v>
      </c>
    </row>
    <row r="28" spans="1:10">
      <c r="A28" t="s">
        <v>223</v>
      </c>
      <c r="B28" s="10">
        <v>20</v>
      </c>
      <c r="C28" s="10">
        <v>341724.3496227604</v>
      </c>
      <c r="D28" s="10">
        <v>68344.86992455207</v>
      </c>
      <c r="E28" s="10">
        <v>676266.6666666666</v>
      </c>
      <c r="F28" s="10">
        <v>78891.29000000001</v>
      </c>
      <c r="G28" s="10">
        <v>140000</v>
      </c>
      <c r="H28" s="10">
        <f>D28+E28+F28+G28-C28</f>
        <v>621778.4769684584</v>
      </c>
      <c r="I28" s="10">
        <v>0</v>
      </c>
      <c r="J28" s="10">
        <f>J27+I28-H28</f>
        <v>-338591.4336863044</v>
      </c>
    </row>
    <row r="29" spans="1:10">
      <c r="A29" t="s">
        <v>224</v>
      </c>
      <c r="B29" s="10">
        <v>21</v>
      </c>
      <c r="C29" s="10">
        <v>353684.701859557</v>
      </c>
      <c r="D29" s="10">
        <v>70736.94037191139</v>
      </c>
      <c r="E29" s="10">
        <v>676266.6666666666</v>
      </c>
      <c r="F29" s="10">
        <v>78891.29000000001</v>
      </c>
      <c r="G29" s="10">
        <v>140000</v>
      </c>
      <c r="H29" s="10">
        <f>D29+E29+F29+G29-C29</f>
        <v>612210.1951790211</v>
      </c>
      <c r="I29" s="10">
        <v>0</v>
      </c>
      <c r="J29" s="10">
        <f>J28+I29-H29</f>
        <v>-950801.6288653255</v>
      </c>
    </row>
    <row r="30" spans="1:10">
      <c r="A30" t="s">
        <v>225</v>
      </c>
      <c r="B30" s="10">
        <v>22</v>
      </c>
      <c r="C30" s="10">
        <v>366063.6664246414</v>
      </c>
      <c r="D30" s="10">
        <v>73212.73328492828</v>
      </c>
      <c r="E30" s="10">
        <v>676266.6666666666</v>
      </c>
      <c r="F30" s="10">
        <v>78891.29000000001</v>
      </c>
      <c r="G30" s="10">
        <v>140000</v>
      </c>
      <c r="H30" s="10">
        <f>D30+E30+F30+G30-C30</f>
        <v>602307.0235269535</v>
      </c>
      <c r="I30" s="10">
        <v>0</v>
      </c>
      <c r="J30" s="10">
        <f>J29+I30-H30</f>
        <v>-1553108.652392279</v>
      </c>
    </row>
    <row r="31" spans="1:10">
      <c r="A31" t="s">
        <v>226</v>
      </c>
      <c r="B31" s="10">
        <v>23</v>
      </c>
      <c r="C31" s="10">
        <v>378875.8947495039</v>
      </c>
      <c r="D31" s="10">
        <v>75775.17894990077</v>
      </c>
      <c r="E31" s="10">
        <v>676266.6666666666</v>
      </c>
      <c r="F31" s="10">
        <v>78891.29000000001</v>
      </c>
      <c r="G31" s="10">
        <v>140000</v>
      </c>
      <c r="H31" s="10">
        <f>D31+E31+F31+G31-C31</f>
        <v>592057.2408670636</v>
      </c>
      <c r="I31" s="10">
        <v>0</v>
      </c>
      <c r="J31" s="10">
        <f>J30+I31-H31</f>
        <v>-2145165.8932593428</v>
      </c>
    </row>
    <row r="32" spans="1:10">
      <c r="A32" t="s">
        <v>227</v>
      </c>
      <c r="B32" s="10">
        <v>24</v>
      </c>
      <c r="C32" s="10">
        <v>392136.5510657365</v>
      </c>
      <c r="D32" s="10">
        <v>78427.31021314728</v>
      </c>
      <c r="E32" s="10">
        <v>676266.6666666666</v>
      </c>
      <c r="F32" s="10">
        <v>78891.29000000001</v>
      </c>
      <c r="G32" s="10">
        <v>140000</v>
      </c>
      <c r="H32" s="10">
        <f>D32+E32+F32+G32-C32</f>
        <v>581448.7158140775</v>
      </c>
      <c r="I32" s="10">
        <v>0</v>
      </c>
      <c r="J32" s="10">
        <f>J31+I32-H32</f>
        <v>-2726614.60907342</v>
      </c>
    </row>
    <row r="33" spans="1:10">
      <c r="A33" t="s">
        <v>228</v>
      </c>
      <c r="B33" s="10">
        <v>25</v>
      </c>
      <c r="C33" s="10">
        <v>405861.3303530372</v>
      </c>
      <c r="D33" s="10">
        <v>81172.26607060744</v>
      </c>
      <c r="E33" s="10">
        <v>676266.6666666666</v>
      </c>
      <c r="F33" s="10">
        <v>78891.29000000001</v>
      </c>
      <c r="G33" s="10">
        <v>140000</v>
      </c>
      <c r="H33" s="10">
        <f>D33+E33+F33+G33-C33</f>
        <v>570468.8923842369</v>
      </c>
      <c r="I33" s="10">
        <v>0</v>
      </c>
      <c r="J33" s="10">
        <f>J32+I33-H33</f>
        <v>-3297083.5014576567</v>
      </c>
    </row>
    <row r="34" spans="1:10">
      <c r="A34" t="s">
        <v>229</v>
      </c>
      <c r="B34" s="10">
        <v>26</v>
      </c>
      <c r="C34" s="10">
        <v>420066.4769153935</v>
      </c>
      <c r="D34" s="10">
        <v>84013.2953830787</v>
      </c>
      <c r="E34" s="10">
        <v>676266.6666666666</v>
      </c>
      <c r="F34" s="10">
        <v>78891.29000000001</v>
      </c>
      <c r="G34" s="10">
        <v>140000</v>
      </c>
      <c r="H34" s="10">
        <f>D34+E34+F34+G34-C34</f>
        <v>559104.7751343519</v>
      </c>
      <c r="I34" s="10">
        <v>0</v>
      </c>
      <c r="J34" s="10">
        <f>J33+I34-H34</f>
        <v>-3856188.276592009</v>
      </c>
    </row>
    <row r="35" spans="1:10">
      <c r="A35" t="s">
        <v>230</v>
      </c>
      <c r="B35" s="10">
        <v>27</v>
      </c>
      <c r="C35" s="10">
        <v>434768.8036074322</v>
      </c>
      <c r="D35" s="10">
        <v>86953.76072148644</v>
      </c>
      <c r="E35" s="10">
        <v>676266.6666666666</v>
      </c>
      <c r="F35" s="10">
        <v>78891.29000000001</v>
      </c>
      <c r="G35" s="10">
        <v>140000</v>
      </c>
      <c r="H35" s="10">
        <f>D35+E35+F35+G35-C35</f>
        <v>547342.9137807209</v>
      </c>
      <c r="I35" s="10">
        <v>0</v>
      </c>
      <c r="J35" s="10">
        <f>J34+I35-H35</f>
        <v>-4403531.19037273</v>
      </c>
    </row>
    <row r="36" spans="1:10">
      <c r="A36" t="s">
        <v>231</v>
      </c>
      <c r="B36" s="10">
        <v>28</v>
      </c>
      <c r="C36" s="10">
        <v>449985.7117336923</v>
      </c>
      <c r="D36" s="10">
        <v>89997.14234673847</v>
      </c>
      <c r="E36" s="10">
        <v>676266.6666666666</v>
      </c>
      <c r="F36" s="10">
        <v>78891.29000000001</v>
      </c>
      <c r="G36" s="10">
        <v>140000</v>
      </c>
      <c r="H36" s="10">
        <f>D36+E36+F36+G36-C36</f>
        <v>535169.3872797128</v>
      </c>
      <c r="I36" s="10">
        <v>0</v>
      </c>
      <c r="J36" s="10">
        <f>J35+I36-H36</f>
        <v>-4938700.577652442</v>
      </c>
    </row>
    <row r="37" spans="1:10">
      <c r="A37" t="s">
        <v>232</v>
      </c>
      <c r="B37" s="10">
        <v>29</v>
      </c>
      <c r="C37" s="10">
        <v>465735.2116443715</v>
      </c>
      <c r="D37" s="10">
        <v>93147.04232887429</v>
      </c>
      <c r="E37" s="10">
        <v>676266.6666666666</v>
      </c>
      <c r="F37" s="10">
        <v>78891.29000000001</v>
      </c>
      <c r="G37" s="10">
        <v>140000</v>
      </c>
      <c r="H37" s="10">
        <f>D37+E37+F37+G37-C37</f>
        <v>522569.7873511694</v>
      </c>
      <c r="I37" s="10">
        <v>0</v>
      </c>
      <c r="J37" s="10">
        <f>J36+I37-H37</f>
        <v>-5461270.365003612</v>
      </c>
    </row>
    <row r="38" spans="1:10">
      <c r="A38" t="s">
        <v>233</v>
      </c>
      <c r="B38" s="10">
        <v>30</v>
      </c>
      <c r="C38" s="10">
        <v>482035.9440519245</v>
      </c>
      <c r="D38" s="10">
        <v>96407.18881038489</v>
      </c>
      <c r="E38" s="10">
        <v>676266.6666666666</v>
      </c>
      <c r="F38" s="10">
        <v>78891.29000000001</v>
      </c>
      <c r="G38" s="10">
        <v>140000</v>
      </c>
      <c r="H38" s="10">
        <f>D38+E38+F38+G38-C38</f>
        <v>509529.20142512716</v>
      </c>
      <c r="I38" s="10">
        <v>0</v>
      </c>
      <c r="J38" s="10">
        <f>J37+I38-H38</f>
        <v>-5970799.566428739</v>
      </c>
    </row>
    <row r="39" spans="1:10">
      <c r="A39" t="s">
        <v>234</v>
      </c>
      <c r="B39" s="10">
        <v>31</v>
      </c>
      <c r="C39" s="10">
        <v>498907.2020937418</v>
      </c>
      <c r="D39" s="10">
        <v>99781.44041874836</v>
      </c>
      <c r="E39" s="10">
        <v>676266.6666666666</v>
      </c>
      <c r="F39" s="10">
        <v>78891.29000000001</v>
      </c>
      <c r="G39" s="10">
        <v>140000</v>
      </c>
      <c r="H39" s="10">
        <f>D39+E39+F39+G39-C39</f>
        <v>496032.19499167317</v>
      </c>
      <c r="I39" s="10">
        <v>0</v>
      </c>
      <c r="J39" s="10">
        <f>J38+I39-H39</f>
        <v>-6466831.761420412</v>
      </c>
    </row>
    <row r="40" spans="1:10">
      <c r="A40" t="s">
        <v>235</v>
      </c>
      <c r="B40" s="10">
        <v>32</v>
      </c>
      <c r="C40" s="10">
        <v>516368.9541670227</v>
      </c>
      <c r="D40" s="10">
        <v>103273.7908334045</v>
      </c>
      <c r="E40" s="10">
        <v>676266.6666666666</v>
      </c>
      <c r="F40" s="10">
        <v>78891.29000000001</v>
      </c>
      <c r="G40" s="10">
        <v>140000</v>
      </c>
      <c r="H40" s="10">
        <f>D40+E40+F40+G40-C40</f>
        <v>482062.79333304847</v>
      </c>
      <c r="I40" s="10">
        <v>0</v>
      </c>
      <c r="J40" s="10">
        <f>J39+I40-H40</f>
        <v>-6948894.55475346</v>
      </c>
    </row>
    <row r="41" spans="1:10">
      <c r="A41" t="s">
        <v>236</v>
      </c>
      <c r="B41" s="10">
        <v>33</v>
      </c>
      <c r="C41" s="10">
        <v>534441.8675628685</v>
      </c>
      <c r="D41" s="10">
        <v>106888.3735125737</v>
      </c>
      <c r="E41" s="10">
        <v>676266.6666666666</v>
      </c>
      <c r="F41" s="10">
        <v>78891.29000000001</v>
      </c>
      <c r="G41" s="10">
        <v>140000</v>
      </c>
      <c r="H41" s="10">
        <f>D41+E41+F41+G41-C41</f>
        <v>467604.4626163718</v>
      </c>
      <c r="I41" s="10">
        <v>0</v>
      </c>
      <c r="J41" s="10">
        <f>J40+I41-H41</f>
        <v>-7416499.017369832</v>
      </c>
    </row>
    <row r="42" spans="1:10">
      <c r="A42" t="s">
        <v>237</v>
      </c>
      <c r="B42" s="10">
        <v>34</v>
      </c>
      <c r="C42" s="10">
        <v>553147.3329275688</v>
      </c>
      <c r="D42" s="10">
        <v>110629.4665855138</v>
      </c>
      <c r="E42" s="10">
        <v>676266.6666666666</v>
      </c>
      <c r="F42" s="10">
        <v>78891.29000000001</v>
      </c>
      <c r="G42" s="10">
        <v>140000</v>
      </c>
      <c r="H42" s="10">
        <f>D42+E42+F42+G42-C42</f>
        <v>452640.09032461164</v>
      </c>
      <c r="I42" s="10">
        <v>0</v>
      </c>
      <c r="J42" s="10">
        <f>J41+I42-H42</f>
        <v>-7869139.107694443</v>
      </c>
    </row>
    <row r="43" spans="1:10">
      <c r="A43" t="s">
        <v>238</v>
      </c>
      <c r="B43" s="10">
        <v>35</v>
      </c>
      <c r="C43" s="10">
        <v>572507.4895800337</v>
      </c>
      <c r="D43" s="10">
        <v>114501.4979160067</v>
      </c>
      <c r="E43" s="10">
        <v>676266.6666666666</v>
      </c>
      <c r="F43" s="10">
        <v>78891.29000000001</v>
      </c>
      <c r="G43" s="10">
        <v>140000</v>
      </c>
      <c r="H43" s="10">
        <f>D43+E43+F43+G43-C43</f>
        <v>437151.9650026397</v>
      </c>
      <c r="I43" s="10">
        <v>0</v>
      </c>
      <c r="J43" s="10">
        <f>J42+I43-H43</f>
        <v>-8306291.072697083</v>
      </c>
    </row>
    <row r="44" spans="1:10">
      <c r="A44" t="s">
        <v>239</v>
      </c>
      <c r="B44" s="10">
        <v>36</v>
      </c>
      <c r="C44" s="10">
        <v>592545.2517153348</v>
      </c>
      <c r="D44" s="10">
        <v>118509.050343067</v>
      </c>
      <c r="E44" s="10">
        <v>676266.6666666666</v>
      </c>
      <c r="F44" s="10">
        <v>78891.29000000001</v>
      </c>
      <c r="G44" s="10">
        <v>140000</v>
      </c>
      <c r="H44" s="10">
        <f>D44+E44+F44+G44-C44</f>
        <v>421121.75529439875</v>
      </c>
      <c r="I44" s="10">
        <v>0</v>
      </c>
      <c r="J44" s="10">
        <f>J43+I44-H44</f>
        <v>-8727412.827991482</v>
      </c>
    </row>
    <row r="45" spans="1:10">
      <c r="A45" t="s">
        <v>240</v>
      </c>
      <c r="B45" s="10">
        <v>37</v>
      </c>
      <c r="C45" s="10">
        <v>613284.3355253715</v>
      </c>
      <c r="D45" s="10">
        <v>122656.8671050743</v>
      </c>
      <c r="E45" s="10">
        <v>676266.6666666666</v>
      </c>
      <c r="F45" s="10">
        <v>78891.29000000001</v>
      </c>
      <c r="G45" s="10">
        <v>140000</v>
      </c>
      <c r="H45" s="10">
        <f>D45+E45+F45+G45-C45</f>
        <v>404530.4882463695</v>
      </c>
      <c r="I45" s="10">
        <v>0</v>
      </c>
      <c r="J45" s="10">
        <f>J44+I45-H45</f>
        <v>-9131943.316237852</v>
      </c>
    </row>
    <row r="46" spans="1:10">
      <c r="A46" t="s">
        <v>241</v>
      </c>
      <c r="B46" s="10">
        <v>38</v>
      </c>
      <c r="C46" s="10">
        <v>634749.2872687594</v>
      </c>
      <c r="D46" s="10">
        <v>126949.8574537519</v>
      </c>
      <c r="E46" s="10">
        <v>676266.6666666666</v>
      </c>
      <c r="F46" s="10">
        <v>78891.29000000001</v>
      </c>
      <c r="G46" s="10">
        <v>140000</v>
      </c>
      <c r="H46" s="10">
        <f>D46+E46+F46+G46-C46</f>
        <v>387358.52685165906</v>
      </c>
      <c r="I46" s="10">
        <v>0</v>
      </c>
      <c r="J46" s="10">
        <f>J45+I46-H46</f>
        <v>-9519301.843089512</v>
      </c>
    </row>
    <row r="47" spans="1:10">
      <c r="A47" t="s">
        <v>242</v>
      </c>
      <c r="B47" s="10">
        <v>39</v>
      </c>
      <c r="C47" s="10">
        <v>656965.512323166</v>
      </c>
      <c r="D47" s="10">
        <v>131393.1024646332</v>
      </c>
      <c r="E47" s="10">
        <v>676266.6666666666</v>
      </c>
      <c r="F47" s="10">
        <v>78891.29000000001</v>
      </c>
      <c r="G47" s="10">
        <v>140000</v>
      </c>
      <c r="H47" s="10">
        <f>D47+E47+F47+G47-C47</f>
        <v>369585.54680813383</v>
      </c>
      <c r="I47" s="10">
        <v>0</v>
      </c>
      <c r="J47" s="10">
        <f>J46+I47-H47</f>
        <v>-9888887.389897645</v>
      </c>
    </row>
    <row r="48" spans="1:10">
      <c r="A48" t="s">
        <v>243</v>
      </c>
      <c r="B48" s="10">
        <v>40</v>
      </c>
      <c r="C48" s="10">
        <v>679959.3052544767</v>
      </c>
      <c r="D48" s="10">
        <v>135991.8610508954</v>
      </c>
      <c r="E48" s="10">
        <v>676266.6666666666</v>
      </c>
      <c r="F48" s="10">
        <v>78891.29000000001</v>
      </c>
      <c r="G48" s="10">
        <v>140000</v>
      </c>
      <c r="H48" s="10">
        <f>D48+E48+F48+G48-C48</f>
        <v>351190.51246308524</v>
      </c>
      <c r="I48" s="10">
        <v>0</v>
      </c>
      <c r="J48" s="10">
        <f>J47+I48-H48</f>
        <v>-10240077.90236073</v>
      </c>
    </row>
    <row r="49" spans="1:10">
      <c r="A49" t="s">
        <v>244</v>
      </c>
      <c r="B49" s="10">
        <v>41</v>
      </c>
      <c r="C49" s="10">
        <v>703757.8809383834</v>
      </c>
      <c r="D49" s="10">
        <v>140751.5761876767</v>
      </c>
      <c r="E49" s="10">
        <v>676266.6666666666</v>
      </c>
      <c r="F49" s="10">
        <v>78891.29000000001</v>
      </c>
      <c r="G49" s="10">
        <v>140000</v>
      </c>
      <c r="H49" s="10">
        <f>D49+E49+F49+G49-C49</f>
        <v>332151.6519159599</v>
      </c>
      <c r="I49" s="10">
        <v>0</v>
      </c>
      <c r="J49" s="10">
        <f>J48+I49-H49</f>
        <v>-10572229.55427669</v>
      </c>
    </row>
    <row r="50" spans="1:10">
      <c r="A50" t="s">
        <v>245</v>
      </c>
      <c r="B50" s="10">
        <v>42</v>
      </c>
      <c r="C50" s="10">
        <v>728389.4067712268</v>
      </c>
      <c r="D50" s="10">
        <v>145677.8813542454</v>
      </c>
      <c r="E50" s="10">
        <v>676266.6666666666</v>
      </c>
      <c r="F50" s="10">
        <v>78891.29000000001</v>
      </c>
      <c r="G50" s="10">
        <v>140000</v>
      </c>
      <c r="H50" s="10">
        <f>D50+E50+F50+G50-C50</f>
        <v>312446.43124968524</v>
      </c>
      <c r="I50" s="10">
        <v>0</v>
      </c>
      <c r="J50" s="10">
        <f>J49+I50-H50</f>
        <v>-10884675.985526375</v>
      </c>
    </row>
    <row r="51" spans="1:10">
      <c r="A51" t="s">
        <v>246</v>
      </c>
      <c r="B51" s="10">
        <v>43</v>
      </c>
      <c r="C51" s="10">
        <v>753883.0360082197</v>
      </c>
      <c r="D51" s="10">
        <v>150776.6072016439</v>
      </c>
      <c r="E51" s="10">
        <v>676266.6666666666</v>
      </c>
      <c r="F51" s="10">
        <v>78891.29000000001</v>
      </c>
      <c r="G51" s="10">
        <v>140000</v>
      </c>
      <c r="H51" s="10">
        <f>D51+E51+F51+G51-C51</f>
        <v>292051.52786009084</v>
      </c>
      <c r="I51" s="10">
        <v>0</v>
      </c>
      <c r="J51" s="10">
        <f>J50+I51-H51</f>
        <v>-11176727.513386466</v>
      </c>
    </row>
    <row r="52" spans="1:10">
      <c r="A52" t="s">
        <v>247</v>
      </c>
      <c r="B52" s="10">
        <v>44</v>
      </c>
      <c r="C52" s="10">
        <v>780268.9422685073</v>
      </c>
      <c r="D52" s="10">
        <v>156053.7884537015</v>
      </c>
      <c r="E52" s="10">
        <v>676266.6666666666</v>
      </c>
      <c r="F52" s="10">
        <v>78891.29000000001</v>
      </c>
      <c r="G52" s="10">
        <v>140000</v>
      </c>
      <c r="H52" s="10">
        <f>D52+E52+F52+G52-C52</f>
        <v>270942.8028518609</v>
      </c>
      <c r="I52" s="10">
        <v>0</v>
      </c>
      <c r="J52" s="10">
        <f>J51+I52-H52</f>
        <v>-11447670.316238327</v>
      </c>
    </row>
    <row r="53" spans="1:10">
      <c r="A53" t="s">
        <v>248</v>
      </c>
      <c r="B53" s="10">
        <v>45</v>
      </c>
      <c r="C53" s="10">
        <v>807578.355247905</v>
      </c>
      <c r="D53" s="10">
        <v>161515.671049581</v>
      </c>
      <c r="E53" s="10">
        <v>676266.6666666666</v>
      </c>
      <c r="F53" s="10">
        <v>78891.29000000001</v>
      </c>
      <c r="G53" s="10">
        <v>140000</v>
      </c>
      <c r="H53" s="10">
        <f>D53+E53+F53+G53-C53</f>
        <v>249095.27246834268</v>
      </c>
      <c r="I53" s="10">
        <v>0</v>
      </c>
      <c r="J53" s="10">
        <f>J52+I53-H53</f>
        <v>-11696765.58870667</v>
      </c>
    </row>
    <row r="54" spans="1:10">
      <c r="A54" t="s">
        <v>249</v>
      </c>
      <c r="B54" s="10">
        <v>46</v>
      </c>
      <c r="C54" s="10">
        <v>835843.5976815816</v>
      </c>
      <c r="D54" s="10">
        <v>167168.7195363163</v>
      </c>
      <c r="E54" s="10">
        <v>676266.6666666666</v>
      </c>
      <c r="F54" s="10">
        <v>78891.29000000001</v>
      </c>
      <c r="G54" s="10">
        <v>140000</v>
      </c>
      <c r="H54" s="10">
        <f>D54+E54+F54+G54-C54</f>
        <v>226483.07852140127</v>
      </c>
      <c r="I54" s="10">
        <v>0</v>
      </c>
      <c r="J54" s="10">
        <f>J53+I54-H54</f>
        <v>-11923248.667228071</v>
      </c>
    </row>
    <row r="55" spans="1:10">
      <c r="A55" t="s">
        <v>250</v>
      </c>
      <c r="B55" s="10">
        <v>47</v>
      </c>
      <c r="C55" s="10">
        <v>865098.123600437</v>
      </c>
      <c r="D55" s="10">
        <v>173019.6247200874</v>
      </c>
      <c r="E55" s="10">
        <v>676266.6666666666</v>
      </c>
      <c r="F55" s="10">
        <v>78891.29000000001</v>
      </c>
      <c r="G55" s="10">
        <v>140000</v>
      </c>
      <c r="H55" s="10">
        <f>D55+E55+F55+G55-C55</f>
        <v>203079.4577863171</v>
      </c>
      <c r="I55" s="10">
        <v>0</v>
      </c>
      <c r="J55" s="10">
        <f>J54+I55-H55</f>
        <v>-12126328.125014389</v>
      </c>
    </row>
    <row r="56" spans="1:10">
      <c r="A56" t="s">
        <v>251</v>
      </c>
      <c r="B56" s="10">
        <v>48</v>
      </c>
      <c r="C56" s="10">
        <v>895376.5579264521</v>
      </c>
      <c r="D56" s="10">
        <v>179075.3115852904</v>
      </c>
      <c r="E56" s="10">
        <v>676266.6666666666</v>
      </c>
      <c r="F56" s="10">
        <v>78891.29000000001</v>
      </c>
      <c r="G56" s="10">
        <v>140000</v>
      </c>
      <c r="H56" s="10">
        <f>D56+E56+F56+G56-C56</f>
        <v>178856.710325505</v>
      </c>
      <c r="I56" s="10">
        <v>0</v>
      </c>
      <c r="J56" s="10">
        <f>J55+I56-H56</f>
        <v>-12305184.835339895</v>
      </c>
    </row>
    <row r="57" spans="1:10">
      <c r="A57" t="s">
        <v>252</v>
      </c>
      <c r="B57" s="10">
        <v>49</v>
      </c>
      <c r="C57" s="10">
        <v>926714.7374538779</v>
      </c>
      <c r="D57" s="10">
        <v>185342.9474907756</v>
      </c>
      <c r="E57" s="10">
        <v>676266.6666666666</v>
      </c>
      <c r="F57" s="10">
        <v>78891.29000000001</v>
      </c>
      <c r="G57" s="10">
        <v>140000</v>
      </c>
      <c r="H57" s="10">
        <f>D57+E57+F57+G57-C57</f>
        <v>153786.16670356435</v>
      </c>
      <c r="I57" s="10">
        <v>0</v>
      </c>
      <c r="J57" s="10">
        <f>J56+I57-H57</f>
        <v>-12458971.00204346</v>
      </c>
    </row>
    <row r="58" spans="1:10">
      <c r="A58" t="s">
        <v>253</v>
      </c>
      <c r="B58" s="10">
        <v>50</v>
      </c>
      <c r="C58" s="10">
        <v>959149.7532647636</v>
      </c>
      <c r="D58" s="10">
        <v>191829.9506529527</v>
      </c>
      <c r="E58" s="10">
        <v>676266.6666666666</v>
      </c>
      <c r="F58" s="10">
        <v>78891.29000000001</v>
      </c>
      <c r="G58" s="10">
        <v>140000</v>
      </c>
      <c r="H58" s="10">
        <f>D58+E58+F58+G58-C58</f>
        <v>127838.1540548557</v>
      </c>
      <c r="I58" s="10">
        <v>0</v>
      </c>
      <c r="J58" s="10">
        <f>J57+I58-H58</f>
        <v>-12586809.156098315</v>
      </c>
    </row>
    <row r="59" spans="1:10">
      <c r="A59" t="s">
        <v>254</v>
      </c>
      <c r="B59" s="10">
        <v>51</v>
      </c>
      <c r="C59" s="10">
        <v>992719.9946290302</v>
      </c>
      <c r="D59" s="10">
        <v>198543.998925806</v>
      </c>
      <c r="E59" s="10">
        <v>676266.6666666666</v>
      </c>
      <c r="F59" s="10">
        <v>78891.29000000001</v>
      </c>
      <c r="G59" s="10">
        <v>140000</v>
      </c>
      <c r="H59" s="10">
        <f>D59+E59+F59+G59-C59</f>
        <v>100981.96096344234</v>
      </c>
      <c r="I59" s="10">
        <v>0</v>
      </c>
      <c r="J59" s="10">
        <f>J58+I59-H59</f>
        <v>-12687791.117061758</v>
      </c>
    </row>
    <row r="60" spans="1:10">
      <c r="A60" t="s">
        <v>255</v>
      </c>
      <c r="B60" s="10">
        <v>52</v>
      </c>
      <c r="C60" s="10">
        <v>1027465.194441046</v>
      </c>
      <c r="D60" s="10">
        <v>205493.0388882092</v>
      </c>
      <c r="E60" s="10">
        <v>676266.6666666666</v>
      </c>
      <c r="F60" s="10">
        <v>78891.29000000001</v>
      </c>
      <c r="G60" s="10">
        <v>140000</v>
      </c>
      <c r="H60" s="10">
        <f>D60+E60+F60+G60-C60</f>
        <v>73185.8011138296</v>
      </c>
      <c r="I60" s="10">
        <v>0</v>
      </c>
      <c r="J60" s="10">
        <f>J59+I60-H60</f>
        <v>-12760976.918175587</v>
      </c>
    </row>
    <row r="61" spans="1:10">
      <c r="A61" t="s">
        <v>256</v>
      </c>
      <c r="B61" s="10">
        <v>53</v>
      </c>
      <c r="C61" s="10">
        <v>1063426.476246483</v>
      </c>
      <c r="D61" s="10">
        <v>212685.2952492966</v>
      </c>
      <c r="E61" s="10">
        <v>676266.6666666666</v>
      </c>
      <c r="F61" s="10">
        <v>78891.29000000001</v>
      </c>
      <c r="G61" s="10">
        <v>140000</v>
      </c>
      <c r="H61" s="10">
        <f>D61+E61+F61+G61-C61</f>
        <v>44416.77566948044</v>
      </c>
      <c r="I61" s="10">
        <v>0</v>
      </c>
      <c r="J61" s="10">
        <f>J60+I61-H61</f>
        <v>-12805393.693845067</v>
      </c>
    </row>
    <row r="62" spans="1:10">
      <c r="A62" t="s">
        <v>257</v>
      </c>
      <c r="B62" s="10">
        <v>54</v>
      </c>
      <c r="C62" s="10">
        <v>1100646.402915109</v>
      </c>
      <c r="D62" s="10">
        <v>220129.2805830219</v>
      </c>
      <c r="E62" s="10">
        <v>676266.6666666666</v>
      </c>
      <c r="F62" s="10">
        <v>78891.29000000001</v>
      </c>
      <c r="G62" s="10">
        <v>140000</v>
      </c>
      <c r="H62" s="10">
        <f>D62+E62+F62+G62-C62</f>
        <v>14640.834334579064</v>
      </c>
      <c r="I62" s="10">
        <v>0</v>
      </c>
      <c r="J62" s="10">
        <f>J61+I62-H62</f>
        <v>-12820034.528179646</v>
      </c>
    </row>
    <row r="63" spans="1:10">
      <c r="A63" t="s">
        <v>258</v>
      </c>
      <c r="B63" s="10">
        <v>55</v>
      </c>
      <c r="C63" s="10">
        <v>1139169.027017138</v>
      </c>
      <c r="D63" s="10">
        <v>227833.8054034277</v>
      </c>
      <c r="E63" s="10">
        <v>676266.6666666666</v>
      </c>
      <c r="F63" s="10">
        <v>78891.29000000001</v>
      </c>
      <c r="G63" s="10">
        <v>140000</v>
      </c>
      <c r="H63" s="10">
        <f>D63+E63+F63+G63-C63</f>
        <v>-16177.264947043965</v>
      </c>
      <c r="I63" s="10">
        <v>0</v>
      </c>
      <c r="J63" s="10">
        <f>J62+I63-H63</f>
        <v>-12803857.263232602</v>
      </c>
    </row>
    <row r="64" spans="1:10">
      <c r="A64" t="s">
        <v>259</v>
      </c>
      <c r="B64" s="10">
        <v>56</v>
      </c>
      <c r="C64" s="10">
        <v>1179039.942962738</v>
      </c>
      <c r="D64" s="10">
        <v>235807.9885925476</v>
      </c>
      <c r="E64" s="10">
        <v>676266.6666666666</v>
      </c>
      <c r="F64" s="10">
        <v>78891.29000000001</v>
      </c>
      <c r="G64" s="10">
        <v>140000</v>
      </c>
      <c r="H64" s="10">
        <f>D64+E64+F64+G64-C64</f>
        <v>-48073.99770352361</v>
      </c>
      <c r="I64" s="10">
        <v>0</v>
      </c>
      <c r="J64" s="10">
        <f>J63+I64-H64</f>
        <v>-12755783.265529078</v>
      </c>
    </row>
    <row r="65" spans="1:10">
      <c r="A65" t="s">
        <v>260</v>
      </c>
      <c r="B65" s="10">
        <v>57</v>
      </c>
      <c r="C65" s="10">
        <v>1220306.340966434</v>
      </c>
      <c r="D65" s="10">
        <v>244061.2681932867</v>
      </c>
      <c r="E65" s="10">
        <v>676266.6666666666</v>
      </c>
      <c r="F65" s="10">
        <v>78891.29000000001</v>
      </c>
      <c r="G65" s="10">
        <v>140000</v>
      </c>
      <c r="H65" s="10">
        <f>D65+E65+F65+G65-C65</f>
        <v>-81087.11610648036</v>
      </c>
      <c r="I65" s="10">
        <v>0</v>
      </c>
      <c r="J65" s="10">
        <f>J64+I65-H65</f>
        <v>-12674696.149422597</v>
      </c>
    </row>
    <row r="66" spans="1:10">
      <c r="A66" t="s">
        <v>261</v>
      </c>
      <c r="B66" s="10">
        <v>58</v>
      </c>
      <c r="C66" s="10">
        <v>1263017.062900259</v>
      </c>
      <c r="D66" s="10">
        <v>252603.4125800518</v>
      </c>
      <c r="E66" s="10">
        <v>676266.6666666666</v>
      </c>
      <c r="F66" s="10">
        <v>78891.29000000001</v>
      </c>
      <c r="G66" s="10">
        <v>140000</v>
      </c>
      <c r="H66" s="10">
        <f>D66+E66+F66+G66-C66</f>
        <v>-115255.69365354045</v>
      </c>
      <c r="I66" s="10">
        <v>0</v>
      </c>
      <c r="J66" s="10">
        <f>J65+I66-H66</f>
        <v>-12559440.455769056</v>
      </c>
    </row>
    <row r="67" spans="1:10">
      <c r="A67" t="s">
        <v>262</v>
      </c>
      <c r="B67" s="10">
        <v>59</v>
      </c>
      <c r="C67" s="10">
        <v>1307222.660101768</v>
      </c>
      <c r="D67" s="10">
        <v>261444.5320203536</v>
      </c>
      <c r="E67" s="10">
        <v>676266.6666666666</v>
      </c>
      <c r="F67" s="10">
        <v>78891.29000000001</v>
      </c>
      <c r="G67" s="10">
        <v>140000</v>
      </c>
      <c r="H67" s="10">
        <f>D67+E67+F67+G67-C67</f>
        <v>-150620.1714147476</v>
      </c>
      <c r="I67" s="10">
        <v>0</v>
      </c>
      <c r="J67" s="10">
        <f>J66+I67-H67</f>
        <v>-12408820.284354309</v>
      </c>
    </row>
    <row r="68" spans="1:10">
      <c r="A68" t="s">
        <v>263</v>
      </c>
      <c r="B68" s="10">
        <v>60</v>
      </c>
      <c r="C68" s="10">
        <v>1352975.45320533</v>
      </c>
      <c r="D68" s="10">
        <v>270595.0906410659</v>
      </c>
      <c r="E68" s="10">
        <v>676266.6666666666</v>
      </c>
      <c r="F68" s="10">
        <v>78891.29000000001</v>
      </c>
      <c r="G68" s="10">
        <v>140000</v>
      </c>
      <c r="H68" s="10">
        <f>D68+E68+F68+G68-C68</f>
        <v>-187222.40589759708</v>
      </c>
      <c r="I68" s="10">
        <v>0</v>
      </c>
      <c r="J68" s="10">
        <f>J67+I68-H68</f>
        <v>-12221597.878456712</v>
      </c>
    </row>
    <row r="70" spans="1:10">
      <c r="A70" s="3" t="s">
        <v>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cols>
    <col min="1" max="1" width="58.7109375" customWidth="1"/>
    <col min="2" max="2" width="18.7109375" customWidth="1"/>
    <col min="3" max="3" width="90.7109375" customWidth="1"/>
  </cols>
  <sheetData>
    <row r="1" spans="1:3">
      <c r="A1" s="1" t="s">
        <v>264</v>
      </c>
    </row>
    <row r="2" spans="1:3">
      <c r="A2" s="3" t="s">
        <v>265</v>
      </c>
    </row>
    <row r="4" spans="1:3">
      <c r="A4" s="4" t="s">
        <v>59</v>
      </c>
      <c r="B4" s="4" t="s">
        <v>266</v>
      </c>
      <c r="C4" s="4" t="s">
        <v>20</v>
      </c>
    </row>
    <row r="5" spans="1:3">
      <c r="A5" t="s">
        <v>267</v>
      </c>
      <c r="B5" s="10">
        <f>RAISED_PRESEED_SAFE_USD</f>
        <v>2000000</v>
      </c>
      <c r="C5" s="3" t="s">
        <v>268</v>
      </c>
    </row>
    <row r="6" spans="1:3">
      <c r="A6" t="s">
        <v>269</v>
      </c>
      <c r="B6" s="10">
        <f>RAISED_SEED_SAFE_USD</f>
        <v>3400000</v>
      </c>
      <c r="C6" s="3" t="s">
        <v>270</v>
      </c>
    </row>
    <row r="7" spans="1:3">
      <c r="A7" s="2" t="s">
        <v>271</v>
      </c>
      <c r="B7" s="11">
        <f>B5+B6</f>
        <v>5400000</v>
      </c>
    </row>
    <row r="8" spans="1:3">
      <c r="A8" t="s">
        <v>272</v>
      </c>
      <c r="B8" s="10">
        <f>NET_LOSS_BEFORE_2025_USD</f>
        <v>501801</v>
      </c>
      <c r="C8" s="3" t="s">
        <v>273</v>
      </c>
    </row>
    <row r="9" spans="1:3">
      <c r="A9" t="s">
        <v>274</v>
      </c>
      <c r="B9" s="10">
        <f>-SUM('P&amp;L'!C27:W27)</f>
        <v>3098199.08</v>
      </c>
      <c r="C9" s="3" t="s">
        <v>275</v>
      </c>
    </row>
    <row r="10" spans="1:3">
      <c r="A10" s="2" t="s">
        <v>276</v>
      </c>
      <c r="B10" s="11">
        <f>B7-B8-B9</f>
        <v>1799999.92</v>
      </c>
    </row>
    <row r="11" spans="1:3">
      <c r="A11" t="s">
        <v>277</v>
      </c>
      <c r="B11" s="10">
        <f>CASH_START</f>
        <v>1800000</v>
      </c>
      <c r="C11" s="3" t="s">
        <v>278</v>
      </c>
    </row>
    <row r="12" spans="1:3">
      <c r="A12" t="s">
        <v>279</v>
      </c>
      <c r="B12" s="13">
        <f>B10-B11</f>
        <v>-0.0800000000745058</v>
      </c>
      <c r="C12" s="3" t="s">
        <v>280</v>
      </c>
    </row>
    <row r="15" spans="1:3">
      <c r="A15" s="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26</vt:i4>
      </vt:variant>
    </vt:vector>
  </HeadingPairs>
  <TitlesOfParts>
    <vt:vector size="34" baseType="lpstr">
      <vt:lpstr>README</vt:lpstr>
      <vt:lpstr>Assumptions</vt:lpstr>
      <vt:lpstr>P&amp;L</vt:lpstr>
      <vt:lpstr>ARR_Build</vt:lpstr>
      <vt:lpstr>Cohorts</vt:lpstr>
      <vt:lpstr>Hiring_Plan</vt:lpstr>
      <vt:lpstr>Cash_Runway</vt:lpstr>
      <vt:lpstr>Cash_Bridge</vt:lpstr>
      <vt:lpstr>ARR_TOTAL</vt:lpstr>
      <vt:lpstr>AS_OF_DATE</vt:lpstr>
      <vt:lpstr>AVG_BASE_NOW</vt:lpstr>
      <vt:lpstr>AVG_NET_BURN_12M</vt:lpstr>
      <vt:lpstr>CASH_BRIDGE_DIFF</vt:lpstr>
      <vt:lpstr>CASH_START</vt:lpstr>
      <vt:lpstr>COHORT_CUSTOMERS</vt:lpstr>
      <vt:lpstr>GM_PCT</vt:lpstr>
      <vt:lpstr>HIRES_COUNTED</vt:lpstr>
      <vt:lpstr>HOSTING_USD_MONTH</vt:lpstr>
      <vt:lpstr>LICENCES_PCT</vt:lpstr>
      <vt:lpstr>LOAD_FACTOR</vt:lpstr>
      <vt:lpstr>NET_LOSS_BEFORE_2025_USD</vt:lpstr>
      <vt:lpstr>NRR_12M</vt:lpstr>
      <vt:lpstr>PAYROLL_NOW_USD_MONTH</vt:lpstr>
      <vt:lpstr>PROGRAMS_USD_MONTH</vt:lpstr>
      <vt:lpstr>RAISED_PRESEED_SAFE_USD</vt:lpstr>
      <vt:lpstr>RAISED_SEED_SAFE_USD</vt:lpstr>
      <vt:lpstr>RENT_ETC_USD_MONTH</vt:lpstr>
      <vt:lpstr>REV_GROWTH</vt:lpstr>
      <vt:lpstr>REV_START_USD_MONTH</vt:lpstr>
      <vt:lpstr>RUNWAY_MONTHS</vt:lpstr>
      <vt:lpstr>SERIES_A_PLAN_MONTH</vt:lpstr>
      <vt:lpstr>SERIES_A_RAISE</vt:lpstr>
      <vt:lpstr>STAFF_NOW</vt:lpstr>
      <vt:lpstr>TELEPHONY_PCT</vt:lpstr>
    </vt:vector>
  </TitlesOfParts>
  <Company>Hollis Voice (synthetic)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financial_model</dc:title>
  <dc:creator>Hollis Voice (synthetic)</dc:creator>
  <dc:description>Synthetic data room for Deal Flow NYC 2026. Not a real company.</dc:description>
  <cp:lastModifiedBy>Hollis Voice (synthetic)</cp:lastModifiedBy>
  <dcterms:created xsi:type="dcterms:W3CDTF">2026-10-01T09:00:00Z</dcterms:created>
  <dcterms:modified xsi:type="dcterms:W3CDTF">2026-10-01T09:00:00Z</dcterms:modified>
</cp:coreProperties>
</file>