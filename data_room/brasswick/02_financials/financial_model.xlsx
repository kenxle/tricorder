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ssumptions" sheetId="2" r:id="rId2"/>
    <sheet name="P&amp;L" sheetId="3" r:id="rId3"/>
    <sheet name="Revenue_Build" sheetId="4" r:id="rId4"/>
    <sheet name="Team" sheetId="5" r:id="rId5"/>
    <sheet name="Cash_Runway" sheetId="6" r:id="rId6"/>
    <sheet name="Cash_Bridge" sheetId="7" r:id="rId7"/>
  </sheets>
  <definedNames>
    <definedName name="ACCOUNTING_USD_MONTH">Assumptions!$B$13</definedName>
    <definedName name="AS_OF_DATE">Assumptions!$B$5</definedName>
    <definedName name="AVG_NET_BURN_12M">Cash_Runway!$B$4</definedName>
    <definedName name="CASH_BRIDGE_DIFF">Cash_Bridge!$B$13</definedName>
    <definedName name="CASH_START">Assumptions!$B$6</definedName>
    <definedName name="CONTRACTED_FEES_2026_09">Revenue_Build!$E$20</definedName>
    <definedName name="DEFERRED_REVENUE_USD">Cash_Bridge!$B$10</definedName>
    <definedName name="EMPLOYEES_AFTER_HIRES">Team!$B$22</definedName>
    <definedName name="EMPLOYEES_NOW">Team!$B$12</definedName>
    <definedName name="GROWTH_LATER">Assumptions!$B$10</definedName>
    <definedName name="GROWTH_Y1">Assumptions!$B$8</definedName>
    <definedName name="GROWTH_Y2">Assumptions!$B$9</definedName>
    <definedName name="LOAD_FACTOR">Assumptions!$B$7</definedName>
    <definedName name="MRR_2026_09">Revenue_Build!$F$21</definedName>
    <definedName name="NET_LOSS_BEFORE_2025_05">Assumptions!$B$21</definedName>
    <definedName name="OTHER_USD_MONTH">Assumptions!$B$15</definedName>
    <definedName name="PAYING_BROKERS">Revenue_Build!$C$19</definedName>
    <definedName name="PROF_SERVICES_USD_MONTH">Assumptions!$B$12</definedName>
    <definedName name="PROGRAMS_USD_MONTH">Assumptions!$B$14</definedName>
    <definedName name="RAISED_SAFE_2025_01">Assumptions!$B$19</definedName>
    <definedName name="RAISED_SAFE_2025_07">Assumptions!$B$20</definedName>
    <definedName name="RECOVERY_FEE_SHARE">Assumptions!$B$11</definedName>
    <definedName name="RUNWAY_MONTHS">Cash_Runway!$B$3</definedName>
    <definedName name="SEED_PLAN_MONTH">Assumptions!$B$18</definedName>
    <definedName name="SEED_PRE_MONEY">Assumptions!$B$17</definedName>
    <definedName name="SEED_RAISE">Assumptions!$B$16</definedName>
    <definedName name="SUB_REVENUE_2026_09">'P&amp;L'!$S$7</definedName>
  </definedNames>
  <calcPr calcId="124519" fullCalcOnLoad="1"/>
</workbook>
</file>

<file path=xl/sharedStrings.xml><?xml version="1.0" encoding="utf-8"?>
<sst xmlns="http://schemas.openxmlformats.org/spreadsheetml/2006/main" count="382" uniqueCount="267">
  <si>
    <t>Brasswick: financial model</t>
  </si>
  <si>
    <t>Data as of 2026-09-30. All figures in US dollars. Actual months 2025-05 to 2026-09. Plan months 2026-10 onward.</t>
  </si>
  <si>
    <t>Tabs</t>
  </si>
  <si>
    <t>Assumptions: the inputs the plan uses.</t>
  </si>
  <si>
    <t>P&amp;L: monthly income statement, 17 months of actuals and 12 months of plan.</t>
  </si>
  <si>
    <t>Revenue_Build: subscription revenue by broker in September 2026.</t>
  </si>
  <si>
    <t>Team: employees today and the hires the seed pays for.</t>
  </si>
  <si>
    <t>Cash_Runway: monthly cash and the number of months the cash lasts.</t>
  </si>
  <si>
    <t>Cash_Bridge: money raised, less losses since the company began, to cash at the data date.</t>
  </si>
  <si>
    <t>Definitions</t>
  </si>
  <si>
    <t>Subscription revenue: platform fees for the month. Brokers pay by monthly load volume.</t>
  </si>
  <si>
    <t>Recovery revenue: money recovered from carriers for overbilled invoices. The broker's share is paid back to it and sits in cost of revenue.</t>
  </si>
  <si>
    <t>MRR: subscription revenue booked in the month.</t>
  </si>
  <si>
    <t>Runway: the number of months after 2026-09-30 in which cash stays above zero.</t>
  </si>
  <si>
    <t>Synthetic data room for Deal Flow NYC 2026. Not a real company.</t>
  </si>
  <si>
    <t>Assumptions</t>
  </si>
  <si>
    <t>Cells with a yellow fill are named cells.</t>
  </si>
  <si>
    <t>Input</t>
  </si>
  <si>
    <t>Value</t>
  </si>
  <si>
    <t>Note</t>
  </si>
  <si>
    <t>Data date</t>
  </si>
  <si>
    <t>2026-09-30</t>
  </si>
  <si>
    <t>Last day of the last actual month.</t>
  </si>
  <si>
    <t>Cash at the data date (USD)</t>
  </si>
  <si>
    <t>Bank balance at 2026-09-30.</t>
  </si>
  <si>
    <t>Loaded cost factor on base pay</t>
  </si>
  <si>
    <t>Base pay times this factor gives payroll cost with taxes and benefits.</t>
  </si>
  <si>
    <t>Revenue growth a month, plan months 1 to 12</t>
  </si>
  <si>
    <t>Subscription and recovery revenue.</t>
  </si>
  <si>
    <t>Revenue growth a month, plan months 13 to 24</t>
  </si>
  <si>
    <t>Revenue growth a month, after plan month 24</t>
  </si>
  <si>
    <t>Brasswick's share of money recovered</t>
  </si>
  <si>
    <t>The rest is paid to the broker and booked in cost of revenue.</t>
  </si>
  <si>
    <t>Professional services (USD a month)</t>
  </si>
  <si>
    <t>Legal and filing fees. Held flat.</t>
  </si>
  <si>
    <t>Accounting (USD a month)</t>
  </si>
  <si>
    <t>Fractional controller retainer. Held flat.</t>
  </si>
  <si>
    <t>Marketing programs after the seed (USD a month)</t>
  </si>
  <si>
    <t>Starts the month the seed closes.</t>
  </si>
  <si>
    <t>Rent, tools, insurance, travel and other (USD a month)</t>
  </si>
  <si>
    <t>Rises by $3,900 from plan month 7 for a larger office.</t>
  </si>
  <si>
    <t>Seed raise (USD)</t>
  </si>
  <si>
    <t>Priced seed round.</t>
  </si>
  <si>
    <t>Seed pre-money valuation (USD)</t>
  </si>
  <si>
    <t>See the cap table.</t>
  </si>
  <si>
    <t>Plan month the seed cash arrives</t>
  </si>
  <si>
    <t>Plan month 1 is 2026-10.</t>
  </si>
  <si>
    <t>Raised in 2025-01: angel SAFEs (USD)</t>
  </si>
  <si>
    <t>Two SAFEs. See the cap table.</t>
  </si>
  <si>
    <t>Raised in 2025-07: pre-seed SAFE (USD)</t>
  </si>
  <si>
    <t>One SAFE. See the cap table.</t>
  </si>
  <si>
    <t>Net loss before 2025-05 (USD)</t>
  </si>
  <si>
    <t>Spend before the first paying broker. Cash_Bridge ties this to cash.</t>
  </si>
  <si>
    <t>Brasswick: income statement and 12-month plan (USD)</t>
  </si>
  <si>
    <t>Actual through 2026-09. Plan from 2026-10.</t>
  </si>
  <si>
    <t>Line</t>
  </si>
  <si>
    <t>Section</t>
  </si>
  <si>
    <t>2025-05</t>
  </si>
  <si>
    <t>Actual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</si>
  <si>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</si>
  <si>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</si>
  <si>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</si>
  <si>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</si>
  <si>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</si>
  <si>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</si>
  <si>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</si>
  <si>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</si>
  <si>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</si>
  <si>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</si>
  <si>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</si>
  <si>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</si>
  <si>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</si>
  <si>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</si>
  <si>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</si>
  <si>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</si>
  <si>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</si>
  <si>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Plan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</si>
  <si>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</si>
  <si>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</si>
  <si>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</si>
  <si>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</si>
  <si>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</si>
  <si>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</si>
  <si>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</si>
  <si>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</si>
  <si>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</si>
  <si>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</si>
  <si>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</si>
  <si>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Revenue</t>
  </si>
  <si>
    <t>Subscription revenue</t>
  </si>
  <si>
    <t>Recovery revenue</t>
  </si>
  <si>
    <t>Total revenue</t>
  </si>
  <si>
    <t>Cost of revenue</t>
  </si>
  <si>
    <t>Recoveries paid to customers</t>
  </si>
  <si>
    <t>COGS</t>
  </si>
  <si>
    <t>Cloud hosting</t>
  </si>
  <si>
    <t>Document and language model APIs</t>
  </si>
  <si>
    <t>Payroll: customer success and implementation</t>
  </si>
  <si>
    <t>Total cost of revenue</t>
  </si>
  <si>
    <t>Gross profit</t>
  </si>
  <si>
    <t>Gross margin</t>
  </si>
  <si>
    <t>Operating expenses</t>
  </si>
  <si>
    <t>Payroll: engineering</t>
  </si>
  <si>
    <t>R&amp;D</t>
  </si>
  <si>
    <t>Payroll: sales and marketing</t>
  </si>
  <si>
    <t>S&amp;M</t>
  </si>
  <si>
    <t>Marketing programs</t>
  </si>
  <si>
    <t>Payroll: general and administrative</t>
  </si>
  <si>
    <t>G&amp;A</t>
  </si>
  <si>
    <t>Professional services</t>
  </si>
  <si>
    <t>Accounting</t>
  </si>
  <si>
    <t>Rent, tools, insurance, travel and other</t>
  </si>
  <si>
    <t>Total operating expenses</t>
  </si>
  <si>
    <t>Operating result</t>
  </si>
  <si>
    <t>Memo</t>
  </si>
  <si>
    <t>Payroll</t>
  </si>
  <si>
    <t>Net burn (negative of operating result)</t>
  </si>
  <si>
    <t>Employees at month end</t>
  </si>
  <si>
    <t>Subscription revenue by broker, 2026-09 (USD)</t>
  </si>
  <si>
    <t>Brokers paying in September 2026. Annual plans are paid once a year, in advance.</t>
  </si>
  <si>
    <t>Customer id</t>
  </si>
  <si>
    <t>Customer</t>
  </si>
  <si>
    <t>Billing</t>
  </si>
  <si>
    <t>Monthly fee (contract)</t>
  </si>
  <si>
    <t>Revenue booked 2026-09</t>
  </si>
  <si>
    <t>C1001</t>
  </si>
  <si>
    <t>Corvane Logistics</t>
  </si>
  <si>
    <t>Network</t>
  </si>
  <si>
    <t>Monthly</t>
  </si>
  <si>
    <t>Network plan, 24-month agreement from 2025-05-01.</t>
  </si>
  <si>
    <t>C1002</t>
  </si>
  <si>
    <t>Kelderton Freight Partners</t>
  </si>
  <si>
    <t>Fleet</t>
  </si>
  <si>
    <t>C1003</t>
  </si>
  <si>
    <t>Ludgate Transport Brokers</t>
  </si>
  <si>
    <t>C1005</t>
  </si>
  <si>
    <t>Marrowgate Logistics</t>
  </si>
  <si>
    <t>C1006</t>
  </si>
  <si>
    <t>Ashby Fenwick Freight</t>
  </si>
  <si>
    <t>Lane</t>
  </si>
  <si>
    <t>C1007</t>
  </si>
  <si>
    <t>Varrick Lane Logistics</t>
  </si>
  <si>
    <t>C1008</t>
  </si>
  <si>
    <t>Quellby Haulage</t>
  </si>
  <si>
    <t>C1009</t>
  </si>
  <si>
    <t>Dunsmore Carriers Brokerage</t>
  </si>
  <si>
    <t>C1010</t>
  </si>
  <si>
    <t>Tessmore Freight</t>
  </si>
  <si>
    <t>Annual, paid in advance</t>
  </si>
  <si>
    <t>Annual plan invoiced 2026-02-01 for twelve months. Booked monthly.</t>
  </si>
  <si>
    <t>C1011</t>
  </si>
  <si>
    <t>Hethersett Freight</t>
  </si>
  <si>
    <t>C1012</t>
  </si>
  <si>
    <t>Wexcombe Logistics</t>
  </si>
  <si>
    <t>C1013</t>
  </si>
  <si>
    <t>Tarrow Brokerage</t>
  </si>
  <si>
    <t>C1014</t>
  </si>
  <si>
    <t>Fennimore Shipping Group</t>
  </si>
  <si>
    <t>C1015</t>
  </si>
  <si>
    <t>Ostley Freight</t>
  </si>
  <si>
    <t>Annual plan invoiced 2026-09-01.</t>
  </si>
  <si>
    <t>Paying brokers</t>
  </si>
  <si>
    <t>Contracted monthly fees</t>
  </si>
  <si>
    <t>MRR, September 2026</t>
  </si>
  <si>
    <t>Recovery revenue, 2026-09</t>
  </si>
  <si>
    <t>Money recovered from carriers in September for overbilled invoices.</t>
  </si>
  <si>
    <t>Total revenue, 2026-09</t>
  </si>
  <si>
    <t>Team: employees and planned hires</t>
  </si>
  <si>
    <t>Full-time employees on payroll. Base pay in USD a year.</t>
  </si>
  <si>
    <t>Employee</t>
  </si>
  <si>
    <t>Department</t>
  </si>
  <si>
    <t>Start date</t>
  </si>
  <si>
    <t>Base pay (USD)</t>
  </si>
  <si>
    <t>Chief Executive Officer and co-founder</t>
  </si>
  <si>
    <t>2025-05-01</t>
  </si>
  <si>
    <t>Chief Technology Officer and co-founder</t>
  </si>
  <si>
    <t>Engineering</t>
  </si>
  <si>
    <t>Founding Engineer</t>
  </si>
  <si>
    <t>2025-05-12</t>
  </si>
  <si>
    <t>Customer Success Lead</t>
  </si>
  <si>
    <t>Customer success</t>
  </si>
  <si>
    <t>2025-08-04</t>
  </si>
  <si>
    <t>Account Executive</t>
  </si>
  <si>
    <t>Sales</t>
  </si>
  <si>
    <t>2025-11-17</t>
  </si>
  <si>
    <t>Machine Learning Engineer</t>
  </si>
  <si>
    <t>2026-03-02</t>
  </si>
  <si>
    <t>Implementation Specialist</t>
  </si>
  <si>
    <t>2026-06-08</t>
  </si>
  <si>
    <t>Employees today</t>
  </si>
  <si>
    <t>Planned hire</t>
  </si>
  <si>
    <t>Monthly cost (USD)</t>
  </si>
  <si>
    <t>2026-11-03</t>
  </si>
  <si>
    <t>Senior Machine Learning Engineer</t>
  </si>
  <si>
    <t>2026-12-01</t>
  </si>
  <si>
    <t>Customer Success Manager</t>
  </si>
  <si>
    <t>2027-01-14</t>
  </si>
  <si>
    <t>Growth Marketing Manager</t>
  </si>
  <si>
    <t>2027-02-19</t>
  </si>
  <si>
    <t>2027-03-01</t>
  </si>
  <si>
    <t>Solutions Engineer</t>
  </si>
  <si>
    <t>2027-05-09</t>
  </si>
  <si>
    <t>Backend Engineer</t>
  </si>
  <si>
    <t>2027-07-06</t>
  </si>
  <si>
    <t>Employees after these hires</t>
  </si>
  <si>
    <t>Cash and runway (USD)</t>
  </si>
  <si>
    <t>Runway (months of cash from the data date)</t>
  </si>
  <si>
    <t>Average net burn, plan months 1 to 12 (USD a month)</t>
  </si>
  <si>
    <t>Month</t>
  </si>
  <si>
    <t>Plan month</t>
  </si>
  <si>
    <t>Rent, tools and other</t>
  </si>
  <si>
    <t>Net burn</t>
  </si>
  <si>
    <t>Equity raised</t>
  </si>
  <si>
    <t>Ending cash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</si>
  <si>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</si>
  <si>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</si>
  <si>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</si>
  <si>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</si>
  <si>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</si>
  <si>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</si>
  <si>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</si>
  <si>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</si>
  <si>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</si>
  <si>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</si>
  <si>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</si>
  <si>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</si>
  <si>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</si>
  <si>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</si>
  <si>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</si>
  <si>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</si>
  <si>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</si>
  <si>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</si>
  <si>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</si>
  <si>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</si>
  <si>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</si>
  <si>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</si>
  <si>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</si>
  <si>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</si>
  <si>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</si>
  <si>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</si>
  <si>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</si>
  <si>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</si>
  <si>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</si>
  <si>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</si>
  <si>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</si>
  <si>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</si>
  <si>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</si>
  <si>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</si>
  <si>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</si>
  <si>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</si>
  <si>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Cash bridge: money raised to cash at the data date (USD)</t>
  </si>
  <si>
    <t>Cash burn is taken as the operating result in the P&amp;L, adjusted for annual plans paid in advance.</t>
  </si>
  <si>
    <t>USD</t>
  </si>
  <si>
    <t>Raised in 2025-01: angel SAFEs</t>
  </si>
  <si>
    <t>Raised in 2025-07: pre-seed SAFE</t>
  </si>
  <si>
    <t>Total raised before the seed</t>
  </si>
  <si>
    <t>Less: net loss before 2025-05</t>
  </si>
  <si>
    <t>Spend before the first paying broker.</t>
  </si>
  <si>
    <t>Less: net loss 2025-05 to 2026-09</t>
  </si>
  <si>
    <t>Sum of the P&amp;L operating result over the 17 actual months.</t>
  </si>
  <si>
    <t>Plus: annual plans paid in advance, not yet delivered</t>
  </si>
  <si>
    <t>Tessmore Freight: 4 months of its annual plan at $2,160 a month.</t>
  </si>
  <si>
    <t>Cash at 2026-09-30 from the bridge</t>
  </si>
  <si>
    <t>Cash at 2026-09-30 in Assumptions</t>
  </si>
  <si>
    <t>Bank balance.</t>
  </si>
  <si>
    <t>Difference</t>
  </si>
  <si>
    <t>Rounding only: the loss before 2025-05 is stated in whole dollars.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</si>
</sst>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#,##0.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2262E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EADB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4" fillId="2" borderId="0" xfId="0" applyFont="1" applyFill="1" applyAlignment="1">
      <alignment horizontal="center"/>
    </xf>
    <xf numFmtId="0" fontId="2" fillId="4" borderId="0" xfId="0" applyFont="1" applyFill="1"/>
    <xf numFmtId="164" fontId="0" fillId="0" borderId="0" xfId="0" applyNumberFormat="1"/>
    <xf numFmtId="164" fontId="2" fillId="0" borderId="1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tabSelected="1" workbookViewId="0"/>
  </sheetViews>
  <sheetFormatPr defaultRowHeight="15"/>
  <cols>
    <col min="1" max="1" width="112.7109375" customWidth="1"/>
  </cols>
  <sheetData>
    <row r="1" spans="1:1">
      <c r="A1" s="1" t="s">
        <v>0</v>
      </c>
    </row>
    <row r="2" spans="1:1">
      <c r="A2" t="s">
        <v>1</v>
      </c>
    </row>
    <row r="4" spans="1:1">
      <c r="A4" s="2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2" spans="1:1">
      <c r="A12" s="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8" spans="1:1">
      <c r="A18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cols>
    <col min="1" max="1" width="50.7109375" customWidth="1"/>
    <col min="2" max="2" width="16.7109375" customWidth="1"/>
    <col min="3" max="3" width="92.7109375" customWidth="1"/>
  </cols>
  <sheetData>
    <row r="1" spans="1:3">
      <c r="A1" s="1" t="s">
        <v>15</v>
      </c>
    </row>
    <row r="2" spans="1:3">
      <c r="A2" s="3" t="s">
        <v>16</v>
      </c>
    </row>
    <row r="4" spans="1:3">
      <c r="A4" s="4" t="s">
        <v>17</v>
      </c>
      <c r="B4" s="4" t="s">
        <v>18</v>
      </c>
      <c r="C4" s="4" t="s">
        <v>19</v>
      </c>
    </row>
    <row r="5" spans="1:3">
      <c r="A5" t="s">
        <v>20</v>
      </c>
      <c r="B5" s="5" t="s">
        <v>21</v>
      </c>
      <c r="C5" s="3" t="s">
        <v>22</v>
      </c>
    </row>
    <row r="6" spans="1:3">
      <c r="A6" t="s">
        <v>23</v>
      </c>
      <c r="B6" s="6">
        <v>641318</v>
      </c>
      <c r="C6" s="3" t="s">
        <v>24</v>
      </c>
    </row>
    <row r="7" spans="1:3">
      <c r="A7" t="s">
        <v>25</v>
      </c>
      <c r="B7" s="6">
        <v>1.22</v>
      </c>
      <c r="C7" s="3" t="s">
        <v>26</v>
      </c>
    </row>
    <row r="8" spans="1:3">
      <c r="A8" t="s">
        <v>27</v>
      </c>
      <c r="B8" s="7">
        <v>0.03</v>
      </c>
      <c r="C8" s="3" t="s">
        <v>28</v>
      </c>
    </row>
    <row r="9" spans="1:3">
      <c r="A9" t="s">
        <v>29</v>
      </c>
      <c r="B9" s="7">
        <v>0.015</v>
      </c>
    </row>
    <row r="10" spans="1:3">
      <c r="A10" t="s">
        <v>30</v>
      </c>
      <c r="B10" s="7">
        <v>0.01</v>
      </c>
    </row>
    <row r="11" spans="1:3">
      <c r="A11" t="s">
        <v>31</v>
      </c>
      <c r="B11" s="7">
        <v>0.3</v>
      </c>
      <c r="C11" s="3" t="s">
        <v>32</v>
      </c>
    </row>
    <row r="12" spans="1:3">
      <c r="A12" t="s">
        <v>33</v>
      </c>
      <c r="B12" s="6">
        <v>2800</v>
      </c>
      <c r="C12" s="3" t="s">
        <v>34</v>
      </c>
    </row>
    <row r="13" spans="1:3">
      <c r="A13" t="s">
        <v>35</v>
      </c>
      <c r="B13" s="6">
        <v>2950</v>
      </c>
      <c r="C13" s="3" t="s">
        <v>36</v>
      </c>
    </row>
    <row r="14" spans="1:3">
      <c r="A14" t="s">
        <v>37</v>
      </c>
      <c r="B14" s="6">
        <v>30000</v>
      </c>
      <c r="C14" s="3" t="s">
        <v>38</v>
      </c>
    </row>
    <row r="15" spans="1:3">
      <c r="A15" t="s">
        <v>39</v>
      </c>
      <c r="B15" s="6">
        <v>9800</v>
      </c>
      <c r="C15" s="3" t="s">
        <v>40</v>
      </c>
    </row>
    <row r="16" spans="1:3">
      <c r="A16" t="s">
        <v>41</v>
      </c>
      <c r="B16" s="6">
        <v>3000000</v>
      </c>
      <c r="C16" s="3" t="s">
        <v>42</v>
      </c>
    </row>
    <row r="17" spans="1:3">
      <c r="A17" t="s">
        <v>43</v>
      </c>
      <c r="B17" s="6">
        <v>16000000</v>
      </c>
      <c r="C17" s="3" t="s">
        <v>44</v>
      </c>
    </row>
    <row r="18" spans="1:3">
      <c r="A18" t="s">
        <v>45</v>
      </c>
      <c r="B18" s="6">
        <v>2</v>
      </c>
      <c r="C18" s="3" t="s">
        <v>46</v>
      </c>
    </row>
    <row r="19" spans="1:3">
      <c r="A19" t="s">
        <v>47</v>
      </c>
      <c r="B19" s="6">
        <v>500000</v>
      </c>
      <c r="C19" s="3" t="s">
        <v>48</v>
      </c>
    </row>
    <row r="20" spans="1:3">
      <c r="A20" t="s">
        <v>49</v>
      </c>
      <c r="B20" s="6">
        <v>1200000</v>
      </c>
      <c r="C20" s="3" t="s">
        <v>50</v>
      </c>
    </row>
    <row r="21" spans="1:3">
      <c r="A21" t="s">
        <v>51</v>
      </c>
      <c r="B21" s="6">
        <v>134609</v>
      </c>
      <c r="C21" s="3" t="s">
        <v>52</v>
      </c>
    </row>
    <row r="23" spans="1:3">
      <c r="A23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46.7109375" customWidth="1"/>
    <col min="2" max="2" width="9.7109375" customWidth="1"/>
    <col min="3" max="31" width="11.7109375" customWidth="1"/>
  </cols>
  <sheetData>
    <row r="1" spans="1:31">
      <c r="A1" s="1" t="s">
        <v>53</v>
      </c>
    </row>
    <row r="2" spans="1:31">
      <c r="A2" s="3" t="s">
        <v>54</v>
      </c>
    </row>
    <row r="4" spans="1:31">
      <c r="A4" s="4" t="s">
        <v>55</v>
      </c>
      <c r="B4" s="4" t="s">
        <v>56</v>
      </c>
      <c r="C4" s="8" t="s">
        <v>57</v>
      </c>
      <c r="D4" s="8" t="s">
        <v>59</v>
      </c>
      <c r="E4" s="8" t="s">
        <v>60</v>
      </c>
      <c r="F4" s="8" t="s">
        <v>61</v>
      </c>
      <c r="G4" s="8" t="s">
        <v>62</v>
      </c>
      <c r="H4" s="8" t="s">
        <v>63</v>
      </c>
      <c r="I4" s="8" t="s">
        <v>64</v>
      </c>
      <c r="J4" s="8" t="s">
        <v>65</v>
      </c>
      <c r="K4" s="8" t="s">
        <v>66</v>
      </c>
      <c r="L4" s="8" t="s">
        <v>67</v>
      </c>
      <c r="M4" s="8" t="s">
        <v>68</v>
      </c>
      <c r="N4" s="8" t="s">
        <v>69</v>
      </c>
      <c r="O4" s="8" t="s">
        <v>70</v>
      </c>
      <c r="P4" s="8" t="s">
        <v>71</v>
      </c>
      <c r="Q4" s="8" t="s">
        <v>72</v>
      </c>
      <c r="R4" s="8" t="s">
        <v>73</v>
      </c>
      <c r="S4" s="8" t="s">
        <v>74</v>
      </c>
      <c r="T4" s="8" t="s">
        <v>75</v>
      </c>
      <c r="U4" s="8" t="s">
        <v>77</v>
      </c>
      <c r="V4" s="8" t="s">
        <v>78</v>
      </c>
      <c r="W4" s="8" t="s">
        <v>79</v>
      </c>
      <c r="X4" s="8" t="s">
        <v>80</v>
      </c>
      <c r="Y4" s="8" t="s">
        <v>81</v>
      </c>
      <c r="Z4" s="8" t="s">
        <v>82</v>
      </c>
      <c r="AA4" s="8" t="s">
        <v>83</v>
      </c>
      <c r="AB4" s="8" t="s">
        <v>84</v>
      </c>
      <c r="AC4" s="8" t="s">
        <v>85</v>
      </c>
      <c r="AD4" s="8" t="s">
        <v>86</v>
      </c>
      <c r="AE4" s="8" t="s">
        <v>87</v>
      </c>
    </row>
    <row r="5" spans="1:31">
      <c r="A5" s="4"/>
      <c r="B5" s="4"/>
      <c r="C5" s="8" t="s">
        <v>58</v>
      </c>
      <c r="D5" s="8" t="s">
        <v>58</v>
      </c>
      <c r="E5" s="8" t="s">
        <v>58</v>
      </c>
      <c r="F5" s="8" t="s">
        <v>58</v>
      </c>
      <c r="G5" s="8" t="s">
        <v>58</v>
      </c>
      <c r="H5" s="8" t="s">
        <v>58</v>
      </c>
      <c r="I5" s="8" t="s">
        <v>58</v>
      </c>
      <c r="J5" s="8" t="s">
        <v>58</v>
      </c>
      <c r="K5" s="8" t="s">
        <v>58</v>
      </c>
      <c r="L5" s="8" t="s">
        <v>58</v>
      </c>
      <c r="M5" s="8" t="s">
        <v>58</v>
      </c>
      <c r="N5" s="8" t="s">
        <v>58</v>
      </c>
      <c r="O5" s="8" t="s">
        <v>58</v>
      </c>
      <c r="P5" s="8" t="s">
        <v>58</v>
      </c>
      <c r="Q5" s="8" t="s">
        <v>58</v>
      </c>
      <c r="R5" s="8" t="s">
        <v>58</v>
      </c>
      <c r="S5" s="8" t="s">
        <v>58</v>
      </c>
      <c r="T5" s="8" t="s">
        <v>76</v>
      </c>
      <c r="U5" s="8" t="s">
        <v>76</v>
      </c>
      <c r="V5" s="8" t="s">
        <v>76</v>
      </c>
      <c r="W5" s="8" t="s">
        <v>76</v>
      </c>
      <c r="X5" s="8" t="s">
        <v>76</v>
      </c>
      <c r="Y5" s="8" t="s">
        <v>76</v>
      </c>
      <c r="Z5" s="8" t="s">
        <v>76</v>
      </c>
      <c r="AA5" s="8" t="s">
        <v>76</v>
      </c>
      <c r="AB5" s="8" t="s">
        <v>76</v>
      </c>
      <c r="AC5" s="8" t="s">
        <v>76</v>
      </c>
      <c r="AD5" s="8" t="s">
        <v>76</v>
      </c>
      <c r="AE5" s="8" t="s">
        <v>76</v>
      </c>
    </row>
    <row r="6" spans="1:31">
      <c r="A6" s="9" t="s">
        <v>88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>
      <c r="A7" t="s">
        <v>89</v>
      </c>
      <c r="B7" t="s">
        <v>88</v>
      </c>
      <c r="C7" s="10">
        <v>16625</v>
      </c>
      <c r="D7" s="10">
        <v>18875</v>
      </c>
      <c r="E7" s="10">
        <v>21525</v>
      </c>
      <c r="F7" s="10">
        <v>26245</v>
      </c>
      <c r="G7" s="10">
        <v>28630</v>
      </c>
      <c r="H7" s="10">
        <v>33240</v>
      </c>
      <c r="I7" s="10">
        <v>33240</v>
      </c>
      <c r="J7" s="10">
        <v>32830</v>
      </c>
      <c r="K7" s="10">
        <v>37610</v>
      </c>
      <c r="L7" s="10">
        <v>39770</v>
      </c>
      <c r="M7" s="10">
        <v>39770</v>
      </c>
      <c r="N7" s="10">
        <v>47505</v>
      </c>
      <c r="O7" s="10">
        <v>50200</v>
      </c>
      <c r="P7" s="10">
        <v>52375</v>
      </c>
      <c r="Q7" s="10">
        <v>57270</v>
      </c>
      <c r="R7" s="10">
        <v>57270</v>
      </c>
      <c r="S7" s="10">
        <v>84810</v>
      </c>
      <c r="T7" s="10">
        <v>61351.95</v>
      </c>
      <c r="U7" s="10">
        <v>63192.51</v>
      </c>
      <c r="V7" s="10">
        <v>65088.28</v>
      </c>
      <c r="W7" s="10">
        <v>67040.92999999999</v>
      </c>
      <c r="X7" s="10">
        <v>69052.16</v>
      </c>
      <c r="Y7" s="10">
        <v>71123.73</v>
      </c>
      <c r="Z7" s="10">
        <v>73257.44</v>
      </c>
      <c r="AA7" s="10">
        <v>75455.16</v>
      </c>
      <c r="AB7" s="10">
        <v>77718.81</v>
      </c>
      <c r="AC7" s="10">
        <v>80050.38</v>
      </c>
      <c r="AD7" s="10">
        <v>82451.89</v>
      </c>
      <c r="AE7" s="10">
        <v>84925.45</v>
      </c>
    </row>
    <row r="8" spans="1:31">
      <c r="A8" t="s">
        <v>90</v>
      </c>
      <c r="B8" t="s">
        <v>88</v>
      </c>
      <c r="C8" s="10">
        <v>0</v>
      </c>
      <c r="D8" s="10">
        <v>32292.15</v>
      </c>
      <c r="E8" s="10">
        <v>48816.38</v>
      </c>
      <c r="F8" s="10">
        <v>55662.83</v>
      </c>
      <c r="G8" s="10">
        <v>55460.2</v>
      </c>
      <c r="H8" s="10">
        <v>38414.55</v>
      </c>
      <c r="I8" s="10">
        <v>38428.15</v>
      </c>
      <c r="J8" s="10">
        <v>30275.3</v>
      </c>
      <c r="K8" s="10">
        <v>22789.89</v>
      </c>
      <c r="L8" s="10">
        <v>24384.95</v>
      </c>
      <c r="M8" s="10">
        <v>25851.55</v>
      </c>
      <c r="N8" s="10">
        <v>27374.59</v>
      </c>
      <c r="O8" s="10">
        <v>30770.51</v>
      </c>
      <c r="P8" s="10">
        <v>32079.68</v>
      </c>
      <c r="Q8" s="10">
        <v>33778.72</v>
      </c>
      <c r="R8" s="10">
        <v>37913.88</v>
      </c>
      <c r="S8" s="10">
        <v>35387.73</v>
      </c>
      <c r="T8" s="10">
        <v>36764.25</v>
      </c>
      <c r="U8" s="10">
        <v>37867.17</v>
      </c>
      <c r="V8" s="10">
        <v>39003.19</v>
      </c>
      <c r="W8" s="10">
        <v>40173.28</v>
      </c>
      <c r="X8" s="10">
        <v>41378.48</v>
      </c>
      <c r="Y8" s="10">
        <v>42619.84</v>
      </c>
      <c r="Z8" s="10">
        <v>43898.43</v>
      </c>
      <c r="AA8" s="10">
        <v>45215.39</v>
      </c>
      <c r="AB8" s="10">
        <v>46571.85</v>
      </c>
      <c r="AC8" s="10">
        <v>47969</v>
      </c>
      <c r="AD8" s="10">
        <v>49408.07</v>
      </c>
      <c r="AE8" s="10">
        <v>50890.32</v>
      </c>
    </row>
    <row r="9" spans="1:31">
      <c r="A9" t="s">
        <v>91</v>
      </c>
      <c r="B9" t="s">
        <v>88</v>
      </c>
      <c r="C9" s="11">
        <f>C7+C8</f>
        <v>16625.0</v>
      </c>
      <c r="D9" s="11">
        <f>D7+D8</f>
        <v>51167.15</v>
      </c>
      <c r="E9" s="11">
        <f>E7+E8</f>
        <v>70341.38</v>
      </c>
      <c r="F9" s="11">
        <f>F7+F8</f>
        <v>81907.83</v>
      </c>
      <c r="G9" s="11">
        <f>G7+G8</f>
        <v>84090.2</v>
      </c>
      <c r="H9" s="11">
        <f>H7+H8</f>
        <v>71654.55</v>
      </c>
      <c r="I9" s="11">
        <f>I7+I8</f>
        <v>71668.15</v>
      </c>
      <c r="J9" s="11">
        <f>J7+J8</f>
        <v>63105.3</v>
      </c>
      <c r="K9" s="11">
        <f>K7+K8</f>
        <v>60399.89</v>
      </c>
      <c r="L9" s="11">
        <f>L7+L8</f>
        <v>64154.95</v>
      </c>
      <c r="M9" s="11">
        <f>M7+M8</f>
        <v>65621.55</v>
      </c>
      <c r="N9" s="11">
        <f>N7+N8</f>
        <v>74879.59</v>
      </c>
      <c r="O9" s="11">
        <f>O7+O8</f>
        <v>80970.51</v>
      </c>
      <c r="P9" s="11">
        <f>P7+P8</f>
        <v>84454.68</v>
      </c>
      <c r="Q9" s="11">
        <f>Q7+Q8</f>
        <v>91048.72</v>
      </c>
      <c r="R9" s="11">
        <f>R7+R8</f>
        <v>95183.88</v>
      </c>
      <c r="S9" s="11">
        <f>S7+S8</f>
        <v>120197.73000000001</v>
      </c>
      <c r="T9" s="11">
        <f>T7+T8</f>
        <v>98116.2</v>
      </c>
      <c r="U9" s="11">
        <f>U7+U8</f>
        <v>101059.68</v>
      </c>
      <c r="V9" s="11">
        <f>V7+V8</f>
        <v>104091.47</v>
      </c>
      <c r="W9" s="11">
        <f>W7+W8</f>
        <v>107214.20999999999</v>
      </c>
      <c r="X9" s="11">
        <f>X7+X8</f>
        <v>110430.64000000001</v>
      </c>
      <c r="Y9" s="11">
        <f>Y7+Y8</f>
        <v>113743.56999999999</v>
      </c>
      <c r="Z9" s="11">
        <f>Z7+Z8</f>
        <v>117155.87</v>
      </c>
      <c r="AA9" s="11">
        <f>AA7+AA8</f>
        <v>120670.55</v>
      </c>
      <c r="AB9" s="11">
        <f>AB7+AB8</f>
        <v>124290.66</v>
      </c>
      <c r="AC9" s="11">
        <f>AC7+AC8</f>
        <v>128019.38</v>
      </c>
      <c r="AD9" s="11">
        <f>AD7+AD8</f>
        <v>131859.96</v>
      </c>
      <c r="AE9" s="11">
        <f>AE7+AE8</f>
        <v>135815.77</v>
      </c>
    </row>
    <row r="10" spans="1:31">
      <c r="A10" s="9" t="s">
        <v>92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>
      <c r="A11" t="s">
        <v>93</v>
      </c>
      <c r="B11" t="s">
        <v>94</v>
      </c>
      <c r="C11" s="10">
        <v>0</v>
      </c>
      <c r="D11" s="10">
        <v>22604.5</v>
      </c>
      <c r="E11" s="10">
        <v>34171.47</v>
      </c>
      <c r="F11" s="10">
        <v>38963.98</v>
      </c>
      <c r="G11" s="10">
        <v>38822.13</v>
      </c>
      <c r="H11" s="10">
        <v>26890.18</v>
      </c>
      <c r="I11" s="10">
        <v>26899.71</v>
      </c>
      <c r="J11" s="10">
        <v>21192.7</v>
      </c>
      <c r="K11" s="10">
        <v>15952.93</v>
      </c>
      <c r="L11" s="10">
        <v>17069.46</v>
      </c>
      <c r="M11" s="10">
        <v>18096.09</v>
      </c>
      <c r="N11" s="10">
        <v>19162.21</v>
      </c>
      <c r="O11" s="10">
        <v>21539.35</v>
      </c>
      <c r="P11" s="10">
        <v>22455.78</v>
      </c>
      <c r="Q11" s="10">
        <v>23645.11</v>
      </c>
      <c r="R11" s="10">
        <v>26539.73</v>
      </c>
      <c r="S11" s="10">
        <v>24771.41</v>
      </c>
      <c r="T11" s="10">
        <v>25734.97</v>
      </c>
      <c r="U11" s="10">
        <v>26507.02</v>
      </c>
      <c r="V11" s="10">
        <v>27302.23</v>
      </c>
      <c r="W11" s="10">
        <v>28121.3</v>
      </c>
      <c r="X11" s="10">
        <v>28964.94</v>
      </c>
      <c r="Y11" s="10">
        <v>29833.89</v>
      </c>
      <c r="Z11" s="10">
        <v>30728.9</v>
      </c>
      <c r="AA11" s="10">
        <v>31650.77</v>
      </c>
      <c r="AB11" s="10">
        <v>32600.29</v>
      </c>
      <c r="AC11" s="10">
        <v>33578.3</v>
      </c>
      <c r="AD11" s="10">
        <v>34585.65</v>
      </c>
      <c r="AE11" s="10">
        <v>35623.22</v>
      </c>
    </row>
    <row r="12" spans="1:31">
      <c r="A12" t="s">
        <v>95</v>
      </c>
      <c r="B12" t="s">
        <v>94</v>
      </c>
      <c r="C12" s="10">
        <v>1469.49</v>
      </c>
      <c r="D12" s="10">
        <v>1486.93</v>
      </c>
      <c r="E12" s="10">
        <v>1679.26</v>
      </c>
      <c r="F12" s="10">
        <v>1893.19</v>
      </c>
      <c r="G12" s="10">
        <v>1864.42</v>
      </c>
      <c r="H12" s="10">
        <v>1969.97</v>
      </c>
      <c r="I12" s="10">
        <v>1878.42</v>
      </c>
      <c r="J12" s="10">
        <v>1920.5</v>
      </c>
      <c r="K12" s="10">
        <v>2016.95</v>
      </c>
      <c r="L12" s="10">
        <v>2054.5</v>
      </c>
      <c r="M12" s="10">
        <v>2137.19</v>
      </c>
      <c r="N12" s="10">
        <v>2133.28</v>
      </c>
      <c r="O12" s="10">
        <v>2256.57</v>
      </c>
      <c r="P12" s="10">
        <v>2226.99</v>
      </c>
      <c r="Q12" s="10">
        <v>2618.55</v>
      </c>
      <c r="R12" s="10">
        <v>2571.85</v>
      </c>
      <c r="S12" s="10">
        <v>2621.78</v>
      </c>
      <c r="T12" s="10">
        <v>2700.43</v>
      </c>
      <c r="U12" s="10">
        <v>2781.45</v>
      </c>
      <c r="V12" s="10">
        <v>2864.89</v>
      </c>
      <c r="W12" s="10">
        <v>2950.84</v>
      </c>
      <c r="X12" s="10">
        <v>3039.36</v>
      </c>
      <c r="Y12" s="10">
        <v>3130.54</v>
      </c>
      <c r="Z12" s="10">
        <v>3224.46</v>
      </c>
      <c r="AA12" s="10">
        <v>3321.19</v>
      </c>
      <c r="AB12" s="10">
        <v>3420.83</v>
      </c>
      <c r="AC12" s="10">
        <v>3523.45</v>
      </c>
      <c r="AD12" s="10">
        <v>3629.16</v>
      </c>
      <c r="AE12" s="10">
        <v>3738.03</v>
      </c>
    </row>
    <row r="13" spans="1:31">
      <c r="A13" t="s">
        <v>96</v>
      </c>
      <c r="B13" t="s">
        <v>94</v>
      </c>
      <c r="C13" s="10">
        <v>681.6900000000001</v>
      </c>
      <c r="D13" s="10">
        <v>1324.53</v>
      </c>
      <c r="E13" s="10">
        <v>1309.86</v>
      </c>
      <c r="F13" s="10">
        <v>1802.19</v>
      </c>
      <c r="G13" s="10">
        <v>2000.52</v>
      </c>
      <c r="H13" s="10">
        <v>2319.02</v>
      </c>
      <c r="I13" s="10">
        <v>2281.42</v>
      </c>
      <c r="J13" s="10">
        <v>2152.95</v>
      </c>
      <c r="K13" s="10">
        <v>2567.6</v>
      </c>
      <c r="L13" s="10">
        <v>2854.06</v>
      </c>
      <c r="M13" s="10">
        <v>2685.26</v>
      </c>
      <c r="N13" s="10">
        <v>3058.08</v>
      </c>
      <c r="O13" s="10">
        <v>3292.12</v>
      </c>
      <c r="P13" s="10">
        <v>3638.64</v>
      </c>
      <c r="Q13" s="10">
        <v>3943.95</v>
      </c>
      <c r="R13" s="10">
        <v>4039.47</v>
      </c>
      <c r="S13" s="10">
        <v>3965.57</v>
      </c>
      <c r="T13" s="10">
        <v>4084.54</v>
      </c>
      <c r="U13" s="10">
        <v>4207.07</v>
      </c>
      <c r="V13" s="10">
        <v>4333.29</v>
      </c>
      <c r="W13" s="10">
        <v>4463.28</v>
      </c>
      <c r="X13" s="10">
        <v>4597.18</v>
      </c>
      <c r="Y13" s="10">
        <v>4735.1</v>
      </c>
      <c r="Z13" s="10">
        <v>4877.15</v>
      </c>
      <c r="AA13" s="10">
        <v>5023.47</v>
      </c>
      <c r="AB13" s="10">
        <v>5174.17</v>
      </c>
      <c r="AC13" s="10">
        <v>5329.39</v>
      </c>
      <c r="AD13" s="10">
        <v>5489.28</v>
      </c>
      <c r="AE13" s="10">
        <v>5653.95</v>
      </c>
    </row>
    <row r="14" spans="1:31">
      <c r="A14" t="s">
        <v>97</v>
      </c>
      <c r="B14" t="s">
        <v>94</v>
      </c>
      <c r="C14" s="10">
        <v>0</v>
      </c>
      <c r="D14" s="10">
        <v>0</v>
      </c>
      <c r="E14" s="10">
        <v>0</v>
      </c>
      <c r="F14" s="10">
        <v>8913.07</v>
      </c>
      <c r="G14" s="10">
        <v>9905.129999999999</v>
      </c>
      <c r="H14" s="10">
        <v>9904.32</v>
      </c>
      <c r="I14" s="10">
        <v>10164.14</v>
      </c>
      <c r="J14" s="10">
        <v>9878.200000000001</v>
      </c>
      <c r="K14" s="10">
        <v>10327.54</v>
      </c>
      <c r="L14" s="10">
        <v>10316.85</v>
      </c>
      <c r="M14" s="10">
        <v>10424.4</v>
      </c>
      <c r="N14" s="10">
        <v>10489.96</v>
      </c>
      <c r="O14" s="10">
        <v>10313.05</v>
      </c>
      <c r="P14" s="10">
        <v>17023.66</v>
      </c>
      <c r="Q14" s="10">
        <v>18977.2</v>
      </c>
      <c r="R14" s="10">
        <v>19219.76</v>
      </c>
      <c r="S14" s="10">
        <v>19057.93</v>
      </c>
      <c r="T14" s="10">
        <v>19057.93</v>
      </c>
      <c r="U14" s="10">
        <v>19057.93</v>
      </c>
      <c r="V14" s="10">
        <v>19057.93</v>
      </c>
      <c r="W14" s="10">
        <v>28970.43</v>
      </c>
      <c r="X14" s="10">
        <v>28970.43</v>
      </c>
      <c r="Y14" s="10">
        <v>28970.43</v>
      </c>
      <c r="Z14" s="10">
        <v>28970.43</v>
      </c>
      <c r="AA14" s="10">
        <v>28970.43</v>
      </c>
      <c r="AB14" s="10">
        <v>28970.43</v>
      </c>
      <c r="AC14" s="10">
        <v>28970.43</v>
      </c>
      <c r="AD14" s="10">
        <v>28970.43</v>
      </c>
      <c r="AE14" s="10">
        <v>28970.43</v>
      </c>
    </row>
    <row r="15" spans="1:31">
      <c r="A15" t="s">
        <v>98</v>
      </c>
      <c r="B15" t="s">
        <v>94</v>
      </c>
      <c r="C15" s="10">
        <f>C11+C12+C13+C14</f>
        <v>2151.1800000000003</v>
      </c>
      <c r="D15" s="10">
        <f>D11+D12+D13+D14</f>
        <v>25415.96</v>
      </c>
      <c r="E15" s="10">
        <f>E11+E12+E13+E14</f>
        <v>37160.590000000004</v>
      </c>
      <c r="F15" s="10">
        <f>F11+F12+F13+F14</f>
        <v>51572.43</v>
      </c>
      <c r="G15" s="10">
        <f>G11+G12+G13+G14</f>
        <v>52592.2</v>
      </c>
      <c r="H15" s="10">
        <f>H11+H12+H13+H14</f>
        <v>41083.49</v>
      </c>
      <c r="I15" s="10">
        <f>I11+I12+I13+I14</f>
        <v>41223.69</v>
      </c>
      <c r="J15" s="10">
        <f>J11+J12+J13+J14</f>
        <v>35144.35</v>
      </c>
      <c r="K15" s="10">
        <f>K11+K12+K13+K14</f>
        <v>30865.02</v>
      </c>
      <c r="L15" s="10">
        <f>L11+L12+L13+L14</f>
        <v>32294.87</v>
      </c>
      <c r="M15" s="10">
        <f>M11+M12+M13+M14</f>
        <v>33342.94</v>
      </c>
      <c r="N15" s="10">
        <f>N11+N12+N13+N14</f>
        <v>34843.53</v>
      </c>
      <c r="O15" s="10">
        <f>O11+O12+O13+O14</f>
        <v>37401.09</v>
      </c>
      <c r="P15" s="10">
        <f>P11+P12+P13+P14</f>
        <v>45345.07</v>
      </c>
      <c r="Q15" s="10">
        <f>Q11+Q12+Q13+Q14</f>
        <v>49184.81</v>
      </c>
      <c r="R15" s="10">
        <f>R11+R12+R13+R14</f>
        <v>52370.81</v>
      </c>
      <c r="S15" s="10">
        <f>S11+S12+S13+S14</f>
        <v>50416.69</v>
      </c>
      <c r="T15" s="10">
        <f>T11+T12+T13+T14</f>
        <v>51577.87</v>
      </c>
      <c r="U15" s="10">
        <f>U11+U12+U13+U14</f>
        <v>52553.47</v>
      </c>
      <c r="V15" s="10">
        <f>V11+V12+V13+V14</f>
        <v>53558.34</v>
      </c>
      <c r="W15" s="10">
        <f>W11+W12+W13+W14</f>
        <v>64505.85</v>
      </c>
      <c r="X15" s="10">
        <f>X11+X12+X13+X14</f>
        <v>65571.91</v>
      </c>
      <c r="Y15" s="10">
        <f>Y11+Y12+Y13+Y14</f>
        <v>66669.96</v>
      </c>
      <c r="Z15" s="10">
        <f>Z11+Z12+Z13+Z14</f>
        <v>67800.94</v>
      </c>
      <c r="AA15" s="10">
        <f>AA11+AA12+AA13+AA14</f>
        <v>68965.86</v>
      </c>
      <c r="AB15" s="10">
        <f>AB11+AB12+AB13+AB14</f>
        <v>70165.72</v>
      </c>
      <c r="AC15" s="10">
        <f>AC11+AC12+AC13+AC14</f>
        <v>71401.57</v>
      </c>
      <c r="AD15" s="10">
        <f>AD11+AD12+AD13+AD14</f>
        <v>72674.52</v>
      </c>
      <c r="AE15" s="10">
        <f>AE11+AE12+AE13+AE14</f>
        <v>73985.63</v>
      </c>
    </row>
    <row r="16" spans="1:31">
      <c r="A16" t="s">
        <v>99</v>
      </c>
      <c r="C16" s="11">
        <f>C9-C15</f>
        <v>14473.82</v>
      </c>
      <c r="D16" s="11">
        <f>D9-D15</f>
        <v>25751.190000000002</v>
      </c>
      <c r="E16" s="11">
        <f>E9-E15</f>
        <v>33180.79</v>
      </c>
      <c r="F16" s="11">
        <f>F9-F15</f>
        <v>30335.4</v>
      </c>
      <c r="G16" s="11">
        <f>G9-G15</f>
        <v>31498.0</v>
      </c>
      <c r="H16" s="11">
        <f>H9-H15</f>
        <v>30571.060000000005</v>
      </c>
      <c r="I16" s="11">
        <f>I9-I15</f>
        <v>30444.459999999992</v>
      </c>
      <c r="J16" s="11">
        <f>J9-J15</f>
        <v>27960.950000000004</v>
      </c>
      <c r="K16" s="11">
        <f>K9-K15</f>
        <v>29534.87</v>
      </c>
      <c r="L16" s="11">
        <f>L9-L15</f>
        <v>31860.079999999998</v>
      </c>
      <c r="M16" s="11">
        <f>M9-M15</f>
        <v>32278.61</v>
      </c>
      <c r="N16" s="11">
        <f>N9-N15</f>
        <v>40036.06</v>
      </c>
      <c r="O16" s="11">
        <f>O9-O15</f>
        <v>43569.42</v>
      </c>
      <c r="P16" s="11">
        <f>P9-P15</f>
        <v>39109.60999999999</v>
      </c>
      <c r="Q16" s="11">
        <f>Q9-Q15</f>
        <v>41863.91</v>
      </c>
      <c r="R16" s="11">
        <f>R9-R15</f>
        <v>42813.07000000001</v>
      </c>
      <c r="S16" s="11">
        <f>S9-S15</f>
        <v>69781.04000000001</v>
      </c>
      <c r="T16" s="11">
        <f>T9-T15</f>
        <v>46538.329999999994</v>
      </c>
      <c r="U16" s="11">
        <f>U9-U15</f>
        <v>48506.20999999999</v>
      </c>
      <c r="V16" s="11">
        <f>V9-V15</f>
        <v>50533.130000000005</v>
      </c>
      <c r="W16" s="11">
        <f>W9-W15</f>
        <v>42708.35999999999</v>
      </c>
      <c r="X16" s="11">
        <f>X9-X15</f>
        <v>44858.73000000001</v>
      </c>
      <c r="Y16" s="11">
        <f>Y9-Y15</f>
        <v>47073.609999999986</v>
      </c>
      <c r="Z16" s="11">
        <f>Z9-Z15</f>
        <v>49354.92999999999</v>
      </c>
      <c r="AA16" s="11">
        <f>AA9-AA15</f>
        <v>51704.69</v>
      </c>
      <c r="AB16" s="11">
        <f>AB9-AB15</f>
        <v>54124.94</v>
      </c>
      <c r="AC16" s="11">
        <f>AC9-AC15</f>
        <v>56617.81</v>
      </c>
      <c r="AD16" s="11">
        <f>AD9-AD15</f>
        <v>59185.43999999999</v>
      </c>
      <c r="AE16" s="11">
        <f>AE9-AE15</f>
        <v>61830.139999999985</v>
      </c>
    </row>
    <row r="17" spans="1:31">
      <c r="A17" t="s">
        <v>100</v>
      </c>
      <c r="C17" s="12">
        <f>C16/C9</f>
        <v>0.8706057142857143</v>
      </c>
      <c r="D17" s="12">
        <f>D16/D9</f>
        <v>0.5032758322478388</v>
      </c>
      <c r="E17" s="12">
        <f>E16/E9</f>
        <v>0.47171081943516036</v>
      </c>
      <c r="F17" s="12">
        <f>F16/F9</f>
        <v>0.3703601963328781</v>
      </c>
      <c r="G17" s="12">
        <f>G16/G9</f>
        <v>0.3745739693804986</v>
      </c>
      <c r="H17" s="12">
        <f>H16/H9</f>
        <v>0.42664506301414223</v>
      </c>
      <c r="I17" s="12">
        <f>I16/I9</f>
        <v>0.4247976262816885</v>
      </c>
      <c r="J17" s="12">
        <f>J16/J9</f>
        <v>0.4430840198842253</v>
      </c>
      <c r="K17" s="12">
        <f>K16/K9</f>
        <v>0.4889888044498094</v>
      </c>
      <c r="L17" s="12">
        <f>L16/L9</f>
        <v>0.49661140722578695</v>
      </c>
      <c r="M17" s="12">
        <f>M16/M9</f>
        <v>0.49189039271397883</v>
      </c>
      <c r="N17" s="12">
        <f>N16/N9</f>
        <v>0.5346725322614614</v>
      </c>
      <c r="O17" s="12">
        <f>O16/O9</f>
        <v>0.5380899786848323</v>
      </c>
      <c r="P17" s="12">
        <f>P16/P9</f>
        <v>0.4630839877671669</v>
      </c>
      <c r="Q17" s="12">
        <f>Q16/Q9</f>
        <v>0.4597967989006326</v>
      </c>
      <c r="R17" s="12">
        <f>R16/R9</f>
        <v>0.4497932843250349</v>
      </c>
      <c r="S17" s="12">
        <f>S16/S9</f>
        <v>0.5805520620064955</v>
      </c>
      <c r="T17" s="12">
        <f>T16/T9</f>
        <v>0.4743185121315338</v>
      </c>
      <c r="U17" s="12">
        <f>U16/U9</f>
        <v>0.4799758914732364</v>
      </c>
      <c r="V17" s="12">
        <f>V16/V9</f>
        <v>0.4854685018858894</v>
      </c>
      <c r="W17" s="12">
        <f>W16/W9</f>
        <v>0.3983460774462639</v>
      </c>
      <c r="X17" s="12">
        <f>X16/X9</f>
        <v>0.40621633633564025</v>
      </c>
      <c r="Y17" s="12">
        <f>Y16/Y9</f>
        <v>0.41385732837469397</v>
      </c>
      <c r="Z17" s="12">
        <f>Z16/Z9</f>
        <v>0.4212757755970742</v>
      </c>
      <c r="AA17" s="12">
        <f>AA16/AA9</f>
        <v>0.4284781166572954</v>
      </c>
      <c r="AB17" s="12">
        <f>AB16/AB9</f>
        <v>0.43547069425812046</v>
      </c>
      <c r="AC17" s="12">
        <f>AC16/AC9</f>
        <v>0.4422596797453635</v>
      </c>
      <c r="AD17" s="12">
        <f>AD16/AD9</f>
        <v>0.44885073528006525</v>
      </c>
      <c r="AE17" s="12">
        <f>AE16/AE9</f>
        <v>0.4552500788384146</v>
      </c>
    </row>
    <row r="18" spans="1:31">
      <c r="A18" s="9" t="s">
        <v>101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t="s">
        <v>102</v>
      </c>
      <c r="B19" t="s">
        <v>103</v>
      </c>
      <c r="C19" s="10">
        <v>20897.16</v>
      </c>
      <c r="D19" s="10">
        <v>26525.28</v>
      </c>
      <c r="E19" s="10">
        <v>26595.3</v>
      </c>
      <c r="F19" s="10">
        <v>26726.64</v>
      </c>
      <c r="G19" s="10">
        <v>26881.26</v>
      </c>
      <c r="H19" s="10">
        <v>26816.93</v>
      </c>
      <c r="I19" s="10">
        <v>26707.14</v>
      </c>
      <c r="J19" s="10">
        <v>26844.21</v>
      </c>
      <c r="K19" s="10">
        <v>27156.83</v>
      </c>
      <c r="L19" s="10">
        <v>27461.62</v>
      </c>
      <c r="M19" s="10">
        <v>44588.37</v>
      </c>
      <c r="N19" s="10">
        <v>44962.01</v>
      </c>
      <c r="O19" s="10">
        <v>44598.1</v>
      </c>
      <c r="P19" s="10">
        <v>43977.7</v>
      </c>
      <c r="Q19" s="10">
        <v>44116.32</v>
      </c>
      <c r="R19" s="10">
        <v>45122.43</v>
      </c>
      <c r="S19" s="10">
        <v>44514.24</v>
      </c>
      <c r="T19" s="10">
        <v>44514.24</v>
      </c>
      <c r="U19" s="10">
        <v>44514.24</v>
      </c>
      <c r="V19" s="10">
        <v>62407.57</v>
      </c>
      <c r="W19" s="10">
        <v>62407.57</v>
      </c>
      <c r="X19" s="10">
        <v>62407.57</v>
      </c>
      <c r="Y19" s="10">
        <v>62407.57</v>
      </c>
      <c r="Z19" s="10">
        <v>62407.57</v>
      </c>
      <c r="AA19" s="10">
        <v>76895.07000000001</v>
      </c>
      <c r="AB19" s="10">
        <v>76895.07000000001</v>
      </c>
      <c r="AC19" s="10">
        <v>93314.24000000001</v>
      </c>
      <c r="AD19" s="10">
        <v>93314.24000000001</v>
      </c>
      <c r="AE19" s="10">
        <v>93314.24000000001</v>
      </c>
    </row>
    <row r="20" spans="1:31">
      <c r="A20" t="s">
        <v>104</v>
      </c>
      <c r="B20" t="s">
        <v>105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5261.94</v>
      </c>
      <c r="J20" s="10">
        <v>11322.03</v>
      </c>
      <c r="K20" s="10">
        <v>11647.92</v>
      </c>
      <c r="L20" s="10">
        <v>11817.97</v>
      </c>
      <c r="M20" s="10">
        <v>11780.91</v>
      </c>
      <c r="N20" s="10">
        <v>11799.59</v>
      </c>
      <c r="O20" s="10">
        <v>11713.65</v>
      </c>
      <c r="P20" s="10">
        <v>11841.22</v>
      </c>
      <c r="Q20" s="10">
        <v>11736.85</v>
      </c>
      <c r="R20" s="10">
        <v>11681.16</v>
      </c>
      <c r="S20" s="10">
        <v>11728.27</v>
      </c>
      <c r="T20" s="10">
        <v>11728.27</v>
      </c>
      <c r="U20" s="10">
        <v>23775.77</v>
      </c>
      <c r="V20" s="10">
        <v>23775.77</v>
      </c>
      <c r="W20" s="10">
        <v>23775.77</v>
      </c>
      <c r="X20" s="10">
        <v>37195.77</v>
      </c>
      <c r="Y20" s="10">
        <v>49497.44</v>
      </c>
      <c r="Z20" s="10">
        <v>49497.44</v>
      </c>
      <c r="AA20" s="10">
        <v>49497.44</v>
      </c>
      <c r="AB20" s="10">
        <v>49497.44</v>
      </c>
      <c r="AC20" s="10">
        <v>49497.44</v>
      </c>
      <c r="AD20" s="10">
        <v>49497.44</v>
      </c>
      <c r="AE20" s="10">
        <v>49497.44</v>
      </c>
    </row>
    <row r="21" spans="1:31">
      <c r="A21" t="s">
        <v>106</v>
      </c>
      <c r="B21" t="s">
        <v>105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30000</v>
      </c>
      <c r="V21" s="10">
        <v>30000</v>
      </c>
      <c r="W21" s="10">
        <v>30000</v>
      </c>
      <c r="X21" s="10">
        <v>30000</v>
      </c>
      <c r="Y21" s="10">
        <v>30000</v>
      </c>
      <c r="Z21" s="10">
        <v>30000</v>
      </c>
      <c r="AA21" s="10">
        <v>30000</v>
      </c>
      <c r="AB21" s="10">
        <v>30000</v>
      </c>
      <c r="AC21" s="10">
        <v>30000</v>
      </c>
      <c r="AD21" s="10">
        <v>30000</v>
      </c>
      <c r="AE21" s="10">
        <v>30000</v>
      </c>
    </row>
    <row r="22" spans="1:31">
      <c r="A22" t="s">
        <v>107</v>
      </c>
      <c r="B22" t="s">
        <v>108</v>
      </c>
      <c r="C22" s="10">
        <v>10768.11</v>
      </c>
      <c r="D22" s="10">
        <v>10882.77</v>
      </c>
      <c r="E22" s="10">
        <v>11026.48</v>
      </c>
      <c r="F22" s="10">
        <v>11015.35</v>
      </c>
      <c r="G22" s="10">
        <v>11161.67</v>
      </c>
      <c r="H22" s="10">
        <v>10949.55</v>
      </c>
      <c r="I22" s="10">
        <v>10959.93</v>
      </c>
      <c r="J22" s="10">
        <v>10964.84</v>
      </c>
      <c r="K22" s="10">
        <v>11419.6</v>
      </c>
      <c r="L22" s="10">
        <v>11107.27</v>
      </c>
      <c r="M22" s="10">
        <v>11190.77</v>
      </c>
      <c r="N22" s="10">
        <v>11429.82</v>
      </c>
      <c r="O22" s="10">
        <v>11335.05</v>
      </c>
      <c r="P22" s="10">
        <v>11281.82</v>
      </c>
      <c r="Q22" s="10">
        <v>11425.26</v>
      </c>
      <c r="R22" s="10">
        <v>11391.76</v>
      </c>
      <c r="S22" s="10">
        <v>11309.4</v>
      </c>
      <c r="T22" s="10">
        <v>11309.4</v>
      </c>
      <c r="U22" s="10">
        <v>11309.4</v>
      </c>
      <c r="V22" s="10">
        <v>11309.4</v>
      </c>
      <c r="W22" s="10">
        <v>11309.4</v>
      </c>
      <c r="X22" s="10">
        <v>11309.4</v>
      </c>
      <c r="Y22" s="10">
        <v>11309.4</v>
      </c>
      <c r="Z22" s="10">
        <v>11309.4</v>
      </c>
      <c r="AA22" s="10">
        <v>11309.4</v>
      </c>
      <c r="AB22" s="10">
        <v>11309.4</v>
      </c>
      <c r="AC22" s="10">
        <v>11309.4</v>
      </c>
      <c r="AD22" s="10">
        <v>11309.4</v>
      </c>
      <c r="AE22" s="10">
        <v>11309.4</v>
      </c>
    </row>
    <row r="23" spans="1:31">
      <c r="A23" t="s">
        <v>109</v>
      </c>
      <c r="B23" t="s">
        <v>108</v>
      </c>
      <c r="C23" s="10">
        <v>6675.73</v>
      </c>
      <c r="D23" s="10">
        <v>2198.44</v>
      </c>
      <c r="E23" s="10">
        <v>20793.36</v>
      </c>
      <c r="F23" s="10">
        <v>25997.85</v>
      </c>
      <c r="G23" s="10">
        <v>28767.77</v>
      </c>
      <c r="H23" s="10">
        <v>31877.09</v>
      </c>
      <c r="I23" s="10">
        <v>28829.86</v>
      </c>
      <c r="J23" s="10">
        <v>33183.38</v>
      </c>
      <c r="K23" s="10">
        <v>32041.59</v>
      </c>
      <c r="L23" s="10">
        <v>36101.13</v>
      </c>
      <c r="M23" s="10">
        <v>30212.95</v>
      </c>
      <c r="N23" s="10">
        <v>28614.04</v>
      </c>
      <c r="O23" s="10">
        <v>28028.75</v>
      </c>
      <c r="P23" s="10">
        <v>28461.22</v>
      </c>
      <c r="Q23" s="10">
        <v>34989.85</v>
      </c>
      <c r="R23" s="10">
        <v>33724.16</v>
      </c>
      <c r="S23" s="10">
        <v>36149.98</v>
      </c>
      <c r="T23" s="10">
        <v>2800</v>
      </c>
      <c r="U23" s="10">
        <v>2800</v>
      </c>
      <c r="V23" s="10">
        <v>2800</v>
      </c>
      <c r="W23" s="10">
        <v>2800</v>
      </c>
      <c r="X23" s="10">
        <v>2800</v>
      </c>
      <c r="Y23" s="10">
        <v>2800</v>
      </c>
      <c r="Z23" s="10">
        <v>2800</v>
      </c>
      <c r="AA23" s="10">
        <v>2800</v>
      </c>
      <c r="AB23" s="10">
        <v>2800</v>
      </c>
      <c r="AC23" s="10">
        <v>2800</v>
      </c>
      <c r="AD23" s="10">
        <v>2800</v>
      </c>
      <c r="AE23" s="10">
        <v>2800</v>
      </c>
    </row>
    <row r="24" spans="1:31">
      <c r="A24" t="s">
        <v>110</v>
      </c>
      <c r="B24" t="s">
        <v>108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2950</v>
      </c>
      <c r="J24" s="10">
        <v>2950</v>
      </c>
      <c r="K24" s="10">
        <v>2950</v>
      </c>
      <c r="L24" s="10">
        <v>2950</v>
      </c>
      <c r="M24" s="10">
        <v>6350</v>
      </c>
      <c r="N24" s="10">
        <v>2950</v>
      </c>
      <c r="O24" s="10">
        <v>2950</v>
      </c>
      <c r="P24" s="10">
        <v>2950</v>
      </c>
      <c r="Q24" s="10">
        <v>2950</v>
      </c>
      <c r="R24" s="10">
        <v>2950</v>
      </c>
      <c r="S24" s="10">
        <v>2950</v>
      </c>
      <c r="T24" s="10">
        <v>2950</v>
      </c>
      <c r="U24" s="10">
        <v>2950</v>
      </c>
      <c r="V24" s="10">
        <v>2950</v>
      </c>
      <c r="W24" s="10">
        <v>2950</v>
      </c>
      <c r="X24" s="10">
        <v>2950</v>
      </c>
      <c r="Y24" s="10">
        <v>2950</v>
      </c>
      <c r="Z24" s="10">
        <v>2950</v>
      </c>
      <c r="AA24" s="10">
        <v>2950</v>
      </c>
      <c r="AB24" s="10">
        <v>2950</v>
      </c>
      <c r="AC24" s="10">
        <v>2950</v>
      </c>
      <c r="AD24" s="10">
        <v>2950</v>
      </c>
      <c r="AE24" s="10">
        <v>2950</v>
      </c>
    </row>
    <row r="25" spans="1:31">
      <c r="A25" t="s">
        <v>111</v>
      </c>
      <c r="B25" t="s">
        <v>108</v>
      </c>
      <c r="C25" s="10">
        <v>5939.77</v>
      </c>
      <c r="D25" s="10">
        <v>7144.44</v>
      </c>
      <c r="E25" s="10">
        <v>5655.81</v>
      </c>
      <c r="F25" s="10">
        <v>6997.14</v>
      </c>
      <c r="G25" s="10">
        <v>6838.28</v>
      </c>
      <c r="H25" s="10">
        <v>7193.93</v>
      </c>
      <c r="I25" s="10">
        <v>6592.84</v>
      </c>
      <c r="J25" s="10">
        <v>6028.98</v>
      </c>
      <c r="K25" s="10">
        <v>8160.59</v>
      </c>
      <c r="L25" s="10">
        <v>9543.01</v>
      </c>
      <c r="M25" s="10">
        <v>9788.559999999999</v>
      </c>
      <c r="N25" s="10">
        <v>8039.76</v>
      </c>
      <c r="O25" s="10">
        <v>10046.75</v>
      </c>
      <c r="P25" s="10">
        <v>11399.45</v>
      </c>
      <c r="Q25" s="10">
        <v>8899.51</v>
      </c>
      <c r="R25" s="10">
        <v>10738.08</v>
      </c>
      <c r="S25" s="10">
        <v>9828.58</v>
      </c>
      <c r="T25" s="10">
        <v>9800</v>
      </c>
      <c r="U25" s="10">
        <v>9800</v>
      </c>
      <c r="V25" s="10">
        <v>9800</v>
      </c>
      <c r="W25" s="10">
        <v>9800</v>
      </c>
      <c r="X25" s="10">
        <v>9800</v>
      </c>
      <c r="Y25" s="10">
        <v>9800</v>
      </c>
      <c r="Z25" s="10">
        <v>13700</v>
      </c>
      <c r="AA25" s="10">
        <v>13700</v>
      </c>
      <c r="AB25" s="10">
        <v>13700</v>
      </c>
      <c r="AC25" s="10">
        <v>13700</v>
      </c>
      <c r="AD25" s="10">
        <v>13700</v>
      </c>
      <c r="AE25" s="10">
        <v>13700</v>
      </c>
    </row>
    <row r="26" spans="1:31">
      <c r="A26" t="s">
        <v>112</v>
      </c>
      <c r="C26" s="11">
        <f>C19+C20+C21+C22+C23+C24+C25</f>
        <v>44280.770000000004</v>
      </c>
      <c r="D26" s="11">
        <f>D19+D20+D21+D22+D23+D24+D25</f>
        <v>46750.93</v>
      </c>
      <c r="E26" s="11">
        <f>E19+E20+E21+E22+E23+E24+E25</f>
        <v>64070.95</v>
      </c>
      <c r="F26" s="11">
        <f>F19+F20+F21+F22+F23+F24+F25</f>
        <v>70736.98</v>
      </c>
      <c r="G26" s="11">
        <f>G19+G20+G21+G22+G23+G24+G25</f>
        <v>73648.98</v>
      </c>
      <c r="H26" s="11">
        <f>H19+H20+H21+H22+H23+H24+H25</f>
        <v>76837.5</v>
      </c>
      <c r="I26" s="11">
        <f>I19+I20+I21+I22+I23+I24+I25</f>
        <v>81301.71</v>
      </c>
      <c r="J26" s="11">
        <f>J19+J20+J21+J22+J23+J24+J25</f>
        <v>91293.44</v>
      </c>
      <c r="K26" s="11">
        <f>K19+K20+K21+K22+K23+K24+K25</f>
        <v>93376.53</v>
      </c>
      <c r="L26" s="11">
        <f>L19+L20+L21+L22+L23+L24+L25</f>
        <v>98981.0</v>
      </c>
      <c r="M26" s="11">
        <f>M19+M20+M21+M22+M23+M24+M25</f>
        <v>113911.56</v>
      </c>
      <c r="N26" s="11">
        <f>N19+N20+N21+N22+N23+N24+N25</f>
        <v>107795.22</v>
      </c>
      <c r="O26" s="11">
        <f>O19+O20+O21+O22+O23+O24+O25</f>
        <v>108672.3</v>
      </c>
      <c r="P26" s="11">
        <f>P19+P20+P21+P22+P23+P24+P25</f>
        <v>109911.41</v>
      </c>
      <c r="Q26" s="11">
        <f>Q19+Q20+Q21+Q22+Q23+Q24+Q25</f>
        <v>114117.79</v>
      </c>
      <c r="R26" s="11">
        <f>R19+R20+R21+R22+R23+R24+R25</f>
        <v>115607.59</v>
      </c>
      <c r="S26" s="11">
        <f>S19+S20+S21+S22+S23+S24+S25</f>
        <v>116480.47</v>
      </c>
      <c r="T26" s="11">
        <f>T19+T20+T21+T22+T23+T24+T25</f>
        <v>83101.91</v>
      </c>
      <c r="U26" s="11">
        <f>U19+U20+U21+U22+U23+U24+U25</f>
        <v>125149.41</v>
      </c>
      <c r="V26" s="11">
        <f>V19+V20+V21+V22+V23+V24+V25</f>
        <v>143042.74</v>
      </c>
      <c r="W26" s="11">
        <f>W19+W20+W21+W22+W23+W24+W25</f>
        <v>143042.74</v>
      </c>
      <c r="X26" s="11">
        <f>X19+X20+X21+X22+X23+X24+X25</f>
        <v>156462.74</v>
      </c>
      <c r="Y26" s="11">
        <f>Y19+Y20+Y21+Y22+Y23+Y24+Y25</f>
        <v>168764.41</v>
      </c>
      <c r="Z26" s="11">
        <f>Z19+Z20+Z21+Z22+Z23+Z24+Z25</f>
        <v>172664.41</v>
      </c>
      <c r="AA26" s="11">
        <f>AA19+AA20+AA21+AA22+AA23+AA24+AA25</f>
        <v>187151.91</v>
      </c>
      <c r="AB26" s="11">
        <f>AB19+AB20+AB21+AB22+AB23+AB24+AB25</f>
        <v>187151.91</v>
      </c>
      <c r="AC26" s="11">
        <f>AC19+AC20+AC21+AC22+AC23+AC24+AC25</f>
        <v>203571.08000000002</v>
      </c>
      <c r="AD26" s="11">
        <f>AD19+AD20+AD21+AD22+AD23+AD24+AD25</f>
        <v>203571.08000000002</v>
      </c>
      <c r="AE26" s="11">
        <f>AE19+AE20+AE21+AE22+AE23+AE24+AE25</f>
        <v>203571.08000000002</v>
      </c>
    </row>
    <row r="27" spans="1:31">
      <c r="A27" t="s">
        <v>113</v>
      </c>
      <c r="C27" s="11">
        <f>C16-C26</f>
        <v>-29806.950000000004</v>
      </c>
      <c r="D27" s="11">
        <f>D16-D26</f>
        <v>-20999.739999999998</v>
      </c>
      <c r="E27" s="11">
        <f>E16-E26</f>
        <v>-30890.159999999996</v>
      </c>
      <c r="F27" s="11">
        <f>F16-F26</f>
        <v>-40401.579999999994</v>
      </c>
      <c r="G27" s="11">
        <f>G16-G26</f>
        <v>-42150.979999999996</v>
      </c>
      <c r="H27" s="11">
        <f>H16-H26</f>
        <v>-46266.439999999995</v>
      </c>
      <c r="I27" s="11">
        <f>I16-I26</f>
        <v>-50857.250000000015</v>
      </c>
      <c r="J27" s="11">
        <f>J16-J26</f>
        <v>-63332.49</v>
      </c>
      <c r="K27" s="11">
        <f>K16-K26</f>
        <v>-63841.66</v>
      </c>
      <c r="L27" s="11">
        <f>L16-L26</f>
        <v>-67120.92</v>
      </c>
      <c r="M27" s="11">
        <f>M16-M26</f>
        <v>-81632.95</v>
      </c>
      <c r="N27" s="11">
        <f>N16-N26</f>
        <v>-67759.16</v>
      </c>
      <c r="O27" s="11">
        <f>O16-O26</f>
        <v>-65102.880000000005</v>
      </c>
      <c r="P27" s="11">
        <f>P16-P26</f>
        <v>-70801.80000000002</v>
      </c>
      <c r="Q27" s="11">
        <f>Q16-Q26</f>
        <v>-72253.87999999999</v>
      </c>
      <c r="R27" s="11">
        <f>R16-R26</f>
        <v>-72794.51999999999</v>
      </c>
      <c r="S27" s="11">
        <f>S16-S26</f>
        <v>-46699.42999999999</v>
      </c>
      <c r="T27" s="11">
        <f>T16-T26</f>
        <v>-36563.58000000001</v>
      </c>
      <c r="U27" s="11">
        <f>U16-U26</f>
        <v>-76643.20000000001</v>
      </c>
      <c r="V27" s="11">
        <f>V16-V26</f>
        <v>-92509.60999999999</v>
      </c>
      <c r="W27" s="11">
        <f>W16-W26</f>
        <v>-100334.38</v>
      </c>
      <c r="X27" s="11">
        <f>X16-X26</f>
        <v>-111604.00999999998</v>
      </c>
      <c r="Y27" s="11">
        <f>Y16-Y26</f>
        <v>-121690.80000000002</v>
      </c>
      <c r="Z27" s="11">
        <f>Z16-Z26</f>
        <v>-123309.48000000001</v>
      </c>
      <c r="AA27" s="11">
        <f>AA16-AA26</f>
        <v>-135447.22</v>
      </c>
      <c r="AB27" s="11">
        <f>AB16-AB26</f>
        <v>-133026.97</v>
      </c>
      <c r="AC27" s="11">
        <f>AC16-AC26</f>
        <v>-146953.27000000002</v>
      </c>
      <c r="AD27" s="11">
        <f>AD16-AD26</f>
        <v>-144385.64</v>
      </c>
      <c r="AE27" s="11">
        <f>AE16-AE26</f>
        <v>-141740.94000000003</v>
      </c>
    </row>
    <row r="28" spans="1:31">
      <c r="A28" s="9" t="s">
        <v>114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t="s">
        <v>115</v>
      </c>
      <c r="B29" t="s">
        <v>114</v>
      </c>
      <c r="C29" s="10">
        <f>C14+C19+C20+C22</f>
        <v>31665.27</v>
      </c>
      <c r="D29" s="10">
        <f>D14+D19+D20+D22</f>
        <v>37408.05</v>
      </c>
      <c r="E29" s="10">
        <f>E14+E19+E20+E22</f>
        <v>37621.78</v>
      </c>
      <c r="F29" s="10">
        <f>F14+F19+F20+F22</f>
        <v>46655.06</v>
      </c>
      <c r="G29" s="10">
        <f>G14+G19+G20+G22</f>
        <v>47948.06</v>
      </c>
      <c r="H29" s="10">
        <f>H14+H19+H20+H22</f>
        <v>47670.8</v>
      </c>
      <c r="I29" s="10">
        <f>I14+I19+I20+I22</f>
        <v>53093.15</v>
      </c>
      <c r="J29" s="10">
        <f>J14+J19+J20+J22</f>
        <v>59009.28</v>
      </c>
      <c r="K29" s="10">
        <f>K14+K19+K20+K22</f>
        <v>60551.89</v>
      </c>
      <c r="L29" s="10">
        <f>L14+L19+L20+L22</f>
        <v>60703.71000000001</v>
      </c>
      <c r="M29" s="10">
        <f>M14+M19+M20+M22</f>
        <v>77984.45000000001</v>
      </c>
      <c r="N29" s="10">
        <f>N14+N19+N20+N22</f>
        <v>78681.38</v>
      </c>
      <c r="O29" s="10">
        <f>O14+O19+O20+O22</f>
        <v>77959.84999999999</v>
      </c>
      <c r="P29" s="10">
        <f>P14+P19+P20+P22</f>
        <v>84124.4</v>
      </c>
      <c r="Q29" s="10">
        <f>Q14+Q19+Q20+Q22</f>
        <v>86255.63</v>
      </c>
      <c r="R29" s="10">
        <f>R14+R19+R20+R22</f>
        <v>87415.11</v>
      </c>
      <c r="S29" s="10">
        <f>S14+S19+S20+S22</f>
        <v>86609.84</v>
      </c>
      <c r="T29" s="10">
        <f>T14+T19+T20+T22</f>
        <v>86609.84</v>
      </c>
      <c r="U29" s="10">
        <f>U14+U19+U20+U22</f>
        <v>98657.34</v>
      </c>
      <c r="V29" s="10">
        <f>V14+V19+V20+V22</f>
        <v>116550.67</v>
      </c>
      <c r="W29" s="10">
        <f>W14+W19+W20+W22</f>
        <v>126463.17</v>
      </c>
      <c r="X29" s="10">
        <f>X14+X19+X20+X22</f>
        <v>139883.16999999998</v>
      </c>
      <c r="Y29" s="10">
        <f>Y14+Y19+Y20+Y22</f>
        <v>152184.84</v>
      </c>
      <c r="Z29" s="10">
        <f>Z14+Z19+Z20+Z22</f>
        <v>152184.84</v>
      </c>
      <c r="AA29" s="10">
        <f>AA14+AA19+AA20+AA22</f>
        <v>166672.34</v>
      </c>
      <c r="AB29" s="10">
        <f>AB14+AB19+AB20+AB22</f>
        <v>166672.34</v>
      </c>
      <c r="AC29" s="10">
        <f>AC14+AC19+AC20+AC22</f>
        <v>183091.51</v>
      </c>
      <c r="AD29" s="10">
        <f>AD14+AD19+AD20+AD22</f>
        <v>183091.51</v>
      </c>
      <c r="AE29" s="10">
        <f>AE14+AE19+AE20+AE22</f>
        <v>183091.51</v>
      </c>
    </row>
    <row r="30" spans="1:31">
      <c r="A30" t="s">
        <v>116</v>
      </c>
      <c r="B30" t="s">
        <v>114</v>
      </c>
      <c r="C30" s="10">
        <f>-C27</f>
        <v>29806.950000000004</v>
      </c>
      <c r="D30" s="10">
        <f>-D27</f>
        <v>20999.739999999998</v>
      </c>
      <c r="E30" s="10">
        <f>-E27</f>
        <v>30890.159999999996</v>
      </c>
      <c r="F30" s="10">
        <f>-F27</f>
        <v>40401.579999999994</v>
      </c>
      <c r="G30" s="10">
        <f>-G27</f>
        <v>42150.979999999996</v>
      </c>
      <c r="H30" s="10">
        <f>-H27</f>
        <v>46266.439999999995</v>
      </c>
      <c r="I30" s="10">
        <f>-I27</f>
        <v>50857.250000000015</v>
      </c>
      <c r="J30" s="10">
        <f>-J27</f>
        <v>63332.49</v>
      </c>
      <c r="K30" s="10">
        <f>-K27</f>
        <v>63841.66</v>
      </c>
      <c r="L30" s="10">
        <f>-L27</f>
        <v>67120.92</v>
      </c>
      <c r="M30" s="10">
        <f>-M27</f>
        <v>81632.95</v>
      </c>
      <c r="N30" s="10">
        <f>-N27</f>
        <v>67759.16</v>
      </c>
      <c r="O30" s="10">
        <f>-O27</f>
        <v>65102.880000000005</v>
      </c>
      <c r="P30" s="10">
        <f>-P27</f>
        <v>70801.80000000002</v>
      </c>
      <c r="Q30" s="10">
        <f>-Q27</f>
        <v>72253.87999999999</v>
      </c>
      <c r="R30" s="10">
        <f>-R27</f>
        <v>72794.51999999999</v>
      </c>
      <c r="S30" s="10">
        <f>-S27</f>
        <v>46699.42999999999</v>
      </c>
      <c r="T30" s="10">
        <f>-T27</f>
        <v>36563.58000000001</v>
      </c>
      <c r="U30" s="10">
        <f>-U27</f>
        <v>76643.20000000001</v>
      </c>
      <c r="V30" s="10">
        <f>-V27</f>
        <v>92509.60999999999</v>
      </c>
      <c r="W30" s="10">
        <f>-W27</f>
        <v>100334.38</v>
      </c>
      <c r="X30" s="10">
        <f>-X27</f>
        <v>111604.00999999998</v>
      </c>
      <c r="Y30" s="10">
        <f>-Y27</f>
        <v>121690.80000000002</v>
      </c>
      <c r="Z30" s="10">
        <f>-Z27</f>
        <v>123309.48000000001</v>
      </c>
      <c r="AA30" s="10">
        <f>-AA27</f>
        <v>135447.22</v>
      </c>
      <c r="AB30" s="10">
        <f>-AB27</f>
        <v>133026.97</v>
      </c>
      <c r="AC30" s="10">
        <f>-AC27</f>
        <v>146953.27000000002</v>
      </c>
      <c r="AD30" s="10">
        <f>-AD27</f>
        <v>144385.64</v>
      </c>
      <c r="AE30" s="10">
        <f>-AE27</f>
        <v>141740.94000000003</v>
      </c>
    </row>
    <row r="31" spans="1:31">
      <c r="A31" t="s">
        <v>117</v>
      </c>
      <c r="B31" t="s">
        <v>114</v>
      </c>
      <c r="C31" s="10">
        <v>3</v>
      </c>
      <c r="D31" s="10">
        <v>3</v>
      </c>
      <c r="E31" s="10">
        <v>3</v>
      </c>
      <c r="F31" s="10">
        <v>4</v>
      </c>
      <c r="G31" s="10">
        <v>4</v>
      </c>
      <c r="H31" s="10">
        <v>4</v>
      </c>
      <c r="I31" s="10">
        <v>5</v>
      </c>
      <c r="J31" s="10">
        <v>5</v>
      </c>
      <c r="K31" s="10">
        <v>5</v>
      </c>
      <c r="L31" s="10">
        <v>5</v>
      </c>
      <c r="M31" s="10">
        <v>6</v>
      </c>
      <c r="N31" s="10">
        <v>6</v>
      </c>
      <c r="O31" s="10">
        <v>6</v>
      </c>
      <c r="P31" s="10">
        <v>7</v>
      </c>
      <c r="Q31" s="10">
        <v>7</v>
      </c>
      <c r="R31" s="10">
        <v>7</v>
      </c>
      <c r="S31" s="10">
        <v>7</v>
      </c>
    </row>
    <row r="33" spans="1:1">
      <c r="A33" s="3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12.7109375" customWidth="1"/>
    <col min="2" max="2" width="30.7109375" customWidth="1"/>
    <col min="3" max="3" width="10.7109375" customWidth="1"/>
    <col min="4" max="4" width="30.7109375" customWidth="1"/>
    <col min="5" max="6" width="18.7109375" customWidth="1"/>
    <col min="7" max="7" width="70.7109375" customWidth="1"/>
  </cols>
  <sheetData>
    <row r="1" spans="1:7">
      <c r="A1" s="1" t="s">
        <v>118</v>
      </c>
    </row>
    <row r="2" spans="1:7">
      <c r="A2" s="3" t="s">
        <v>119</v>
      </c>
    </row>
    <row r="4" spans="1:7">
      <c r="A4" s="4" t="s">
        <v>120</v>
      </c>
      <c r="B4" s="4" t="s">
        <v>121</v>
      </c>
      <c r="C4" s="4" t="s">
        <v>76</v>
      </c>
      <c r="D4" s="4" t="s">
        <v>122</v>
      </c>
      <c r="E4" s="4" t="s">
        <v>123</v>
      </c>
      <c r="F4" s="4" t="s">
        <v>124</v>
      </c>
      <c r="G4" s="4" t="s">
        <v>19</v>
      </c>
    </row>
    <row r="5" spans="1:7">
      <c r="A5" t="s">
        <v>125</v>
      </c>
      <c r="B5" t="s">
        <v>126</v>
      </c>
      <c r="C5" t="s">
        <v>127</v>
      </c>
      <c r="D5" t="s">
        <v>128</v>
      </c>
      <c r="E5" s="10">
        <v>11850</v>
      </c>
      <c r="F5" s="10">
        <v>11850</v>
      </c>
      <c r="G5" s="3" t="s">
        <v>129</v>
      </c>
    </row>
    <row r="6" spans="1:7">
      <c r="A6" t="s">
        <v>130</v>
      </c>
      <c r="B6" t="s">
        <v>131</v>
      </c>
      <c r="C6" t="s">
        <v>132</v>
      </c>
      <c r="D6" t="s">
        <v>128</v>
      </c>
      <c r="E6" s="10">
        <v>5060</v>
      </c>
      <c r="F6" s="10">
        <v>5060</v>
      </c>
    </row>
    <row r="7" spans="1:7">
      <c r="A7" t="s">
        <v>133</v>
      </c>
      <c r="B7" t="s">
        <v>134</v>
      </c>
      <c r="C7" t="s">
        <v>132</v>
      </c>
      <c r="D7" t="s">
        <v>128</v>
      </c>
      <c r="E7" s="10">
        <v>4560</v>
      </c>
      <c r="F7" s="10">
        <v>4560</v>
      </c>
    </row>
    <row r="8" spans="1:7">
      <c r="A8" t="s">
        <v>135</v>
      </c>
      <c r="B8" t="s">
        <v>136</v>
      </c>
      <c r="C8" t="s">
        <v>132</v>
      </c>
      <c r="D8" t="s">
        <v>128</v>
      </c>
      <c r="E8" s="10">
        <v>4720</v>
      </c>
      <c r="F8" s="10">
        <v>4720</v>
      </c>
    </row>
    <row r="9" spans="1:7">
      <c r="A9" t="s">
        <v>137</v>
      </c>
      <c r="B9" t="s">
        <v>138</v>
      </c>
      <c r="C9" t="s">
        <v>139</v>
      </c>
      <c r="D9" t="s">
        <v>128</v>
      </c>
      <c r="E9" s="10">
        <v>2385</v>
      </c>
      <c r="F9" s="10">
        <v>2385</v>
      </c>
    </row>
    <row r="10" spans="1:7">
      <c r="A10" t="s">
        <v>140</v>
      </c>
      <c r="B10" t="s">
        <v>141</v>
      </c>
      <c r="C10" t="s">
        <v>132</v>
      </c>
      <c r="D10" t="s">
        <v>128</v>
      </c>
      <c r="E10" s="10">
        <v>4610</v>
      </c>
      <c r="F10" s="10">
        <v>4610</v>
      </c>
    </row>
    <row r="11" spans="1:7">
      <c r="A11" t="s">
        <v>142</v>
      </c>
      <c r="B11" t="s">
        <v>143</v>
      </c>
      <c r="C11" t="s">
        <v>139</v>
      </c>
      <c r="D11" t="s">
        <v>128</v>
      </c>
      <c r="E11" s="10">
        <v>2240</v>
      </c>
      <c r="F11" s="10">
        <v>2240</v>
      </c>
    </row>
    <row r="12" spans="1:7">
      <c r="A12" t="s">
        <v>144</v>
      </c>
      <c r="B12" t="s">
        <v>145</v>
      </c>
      <c r="C12" t="s">
        <v>132</v>
      </c>
      <c r="D12" t="s">
        <v>128</v>
      </c>
      <c r="E12" s="10">
        <v>4780</v>
      </c>
      <c r="F12" s="10">
        <v>4780</v>
      </c>
    </row>
    <row r="13" spans="1:7">
      <c r="A13" t="s">
        <v>146</v>
      </c>
      <c r="B13" t="s">
        <v>147</v>
      </c>
      <c r="C13" t="s">
        <v>139</v>
      </c>
      <c r="D13" t="s">
        <v>148</v>
      </c>
      <c r="E13" s="10">
        <v>2160</v>
      </c>
      <c r="F13" s="10">
        <v>2160</v>
      </c>
      <c r="G13" s="3" t="s">
        <v>149</v>
      </c>
    </row>
    <row r="14" spans="1:7">
      <c r="A14" t="s">
        <v>150</v>
      </c>
      <c r="B14" t="s">
        <v>151</v>
      </c>
      <c r="C14" t="s">
        <v>132</v>
      </c>
      <c r="D14" t="s">
        <v>128</v>
      </c>
      <c r="E14" s="10">
        <v>5425</v>
      </c>
      <c r="F14" s="10">
        <v>5425</v>
      </c>
    </row>
    <row r="15" spans="1:7">
      <c r="A15" t="s">
        <v>152</v>
      </c>
      <c r="B15" t="s">
        <v>153</v>
      </c>
      <c r="C15" t="s">
        <v>139</v>
      </c>
      <c r="D15" t="s">
        <v>128</v>
      </c>
      <c r="E15" s="10">
        <v>2410</v>
      </c>
      <c r="F15" s="10">
        <v>2410</v>
      </c>
    </row>
    <row r="16" spans="1:7">
      <c r="A16" t="s">
        <v>154</v>
      </c>
      <c r="B16" t="s">
        <v>155</v>
      </c>
      <c r="C16" t="s">
        <v>139</v>
      </c>
      <c r="D16" t="s">
        <v>128</v>
      </c>
      <c r="E16" s="10">
        <v>2175</v>
      </c>
      <c r="F16" s="10">
        <v>2175</v>
      </c>
    </row>
    <row r="17" spans="1:7">
      <c r="A17" t="s">
        <v>156</v>
      </c>
      <c r="B17" t="s">
        <v>157</v>
      </c>
      <c r="C17" t="s">
        <v>132</v>
      </c>
      <c r="D17" t="s">
        <v>128</v>
      </c>
      <c r="E17" s="10">
        <v>4895</v>
      </c>
      <c r="F17" s="10">
        <v>4895</v>
      </c>
    </row>
    <row r="18" spans="1:7">
      <c r="A18" t="s">
        <v>158</v>
      </c>
      <c r="B18" t="s">
        <v>159</v>
      </c>
      <c r="C18" t="s">
        <v>139</v>
      </c>
      <c r="D18" t="s">
        <v>148</v>
      </c>
      <c r="E18" s="10">
        <v>2295</v>
      </c>
      <c r="F18" s="10">
        <v>27540</v>
      </c>
      <c r="G18" s="3" t="s">
        <v>160</v>
      </c>
    </row>
    <row r="19" spans="1:7">
      <c r="B19" s="2" t="s">
        <v>161</v>
      </c>
      <c r="C19" s="6">
        <f>COUNTA(A5:A18)</f>
        <v>14</v>
      </c>
    </row>
    <row r="20" spans="1:7">
      <c r="B20" s="2" t="s">
        <v>162</v>
      </c>
      <c r="E20" s="11">
        <f>SUM(E5:E18)</f>
        <v>59565</v>
      </c>
    </row>
    <row r="21" spans="1:7">
      <c r="B21" s="2" t="s">
        <v>163</v>
      </c>
      <c r="F21" s="6">
        <f>SUM(F5:F18)</f>
        <v>84810</v>
      </c>
    </row>
    <row r="23" spans="1:7">
      <c r="B23" t="s">
        <v>164</v>
      </c>
      <c r="F23" s="10">
        <v>35387.73</v>
      </c>
      <c r="G23" s="3" t="s">
        <v>165</v>
      </c>
    </row>
    <row r="24" spans="1:7">
      <c r="B24" s="2" t="s">
        <v>166</v>
      </c>
      <c r="F24" s="11">
        <f>F21+F23</f>
        <v>120197.73000000001</v>
      </c>
    </row>
    <row r="26" spans="1:7">
      <c r="A26" s="3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40.7109375" customWidth="1"/>
    <col min="2" max="2" width="14.7109375" customWidth="1"/>
    <col min="3" max="5" width="18.7109375" customWidth="1"/>
  </cols>
  <sheetData>
    <row r="1" spans="1:5">
      <c r="A1" s="1" t="s">
        <v>167</v>
      </c>
    </row>
    <row r="2" spans="1:5">
      <c r="A2" s="3" t="s">
        <v>168</v>
      </c>
    </row>
    <row r="4" spans="1:5">
      <c r="A4" s="4" t="s">
        <v>169</v>
      </c>
      <c r="B4" s="4" t="s">
        <v>170</v>
      </c>
      <c r="C4" s="4" t="s">
        <v>171</v>
      </c>
      <c r="D4" s="4" t="s">
        <v>172</v>
      </c>
    </row>
    <row r="5" spans="1:5">
      <c r="A5" t="s">
        <v>173</v>
      </c>
      <c r="B5" t="s">
        <v>108</v>
      </c>
      <c r="C5" t="s">
        <v>174</v>
      </c>
      <c r="D5" s="10">
        <v>108000</v>
      </c>
    </row>
    <row r="6" spans="1:5">
      <c r="A6" t="s">
        <v>175</v>
      </c>
      <c r="B6" t="s">
        <v>176</v>
      </c>
      <c r="C6" t="s">
        <v>174</v>
      </c>
      <c r="D6" s="10">
        <v>104500</v>
      </c>
    </row>
    <row r="7" spans="1:5">
      <c r="A7" t="s">
        <v>177</v>
      </c>
      <c r="B7" t="s">
        <v>176</v>
      </c>
      <c r="C7" t="s">
        <v>178</v>
      </c>
      <c r="D7" s="10">
        <v>157000</v>
      </c>
    </row>
    <row r="8" spans="1:5">
      <c r="A8" t="s">
        <v>179</v>
      </c>
      <c r="B8" t="s">
        <v>180</v>
      </c>
      <c r="C8" t="s">
        <v>181</v>
      </c>
      <c r="D8" s="10">
        <v>98500</v>
      </c>
    </row>
    <row r="9" spans="1:5">
      <c r="A9" t="s">
        <v>182</v>
      </c>
      <c r="B9" t="s">
        <v>183</v>
      </c>
      <c r="C9" t="s">
        <v>184</v>
      </c>
      <c r="D9" s="10">
        <v>112000</v>
      </c>
    </row>
    <row r="10" spans="1:5">
      <c r="A10" t="s">
        <v>185</v>
      </c>
      <c r="B10" t="s">
        <v>176</v>
      </c>
      <c r="C10" t="s">
        <v>186</v>
      </c>
      <c r="D10" s="10">
        <v>168500</v>
      </c>
    </row>
    <row r="11" spans="1:5">
      <c r="A11" t="s">
        <v>187</v>
      </c>
      <c r="B11" t="s">
        <v>180</v>
      </c>
      <c r="C11" t="s">
        <v>188</v>
      </c>
      <c r="D11" s="10">
        <v>86000</v>
      </c>
    </row>
    <row r="12" spans="1:5">
      <c r="A12" s="2" t="s">
        <v>189</v>
      </c>
      <c r="B12" s="6">
        <f>COUNTA(A5:A11)</f>
        <v>7</v>
      </c>
    </row>
    <row r="14" spans="1:5">
      <c r="A14" s="4" t="s">
        <v>190</v>
      </c>
      <c r="B14" s="4" t="s">
        <v>170</v>
      </c>
      <c r="C14" s="4" t="s">
        <v>171</v>
      </c>
      <c r="D14" s="4" t="s">
        <v>172</v>
      </c>
      <c r="E14" s="4" t="s">
        <v>191</v>
      </c>
    </row>
    <row r="15" spans="1:5">
      <c r="A15" t="s">
        <v>182</v>
      </c>
      <c r="B15" t="s">
        <v>183</v>
      </c>
      <c r="C15" t="s">
        <v>192</v>
      </c>
      <c r="D15" s="10">
        <v>118500</v>
      </c>
      <c r="E15" s="10">
        <f>D15*LOAD_FACTOR/12</f>
        <v>12047.5</v>
      </c>
    </row>
    <row r="16" spans="1:5">
      <c r="A16" t="s">
        <v>193</v>
      </c>
      <c r="B16" t="s">
        <v>176</v>
      </c>
      <c r="C16" t="s">
        <v>194</v>
      </c>
      <c r="D16" s="10">
        <v>176000</v>
      </c>
      <c r="E16" s="10">
        <f>D16*LOAD_FACTOR/12</f>
        <v>17893.333333333332</v>
      </c>
    </row>
    <row r="17" spans="1:5">
      <c r="A17" t="s">
        <v>195</v>
      </c>
      <c r="B17" t="s">
        <v>180</v>
      </c>
      <c r="C17" t="s">
        <v>196</v>
      </c>
      <c r="D17" s="10">
        <v>97500</v>
      </c>
      <c r="E17" s="10">
        <f>D17*LOAD_FACTOR/12</f>
        <v>9912.5</v>
      </c>
    </row>
    <row r="18" spans="1:5">
      <c r="A18" t="s">
        <v>197</v>
      </c>
      <c r="B18" t="s">
        <v>183</v>
      </c>
      <c r="C18" t="s">
        <v>198</v>
      </c>
      <c r="D18" s="10">
        <v>132000</v>
      </c>
      <c r="E18" s="10">
        <f>D18*LOAD_FACTOR/12</f>
        <v>13420.0</v>
      </c>
    </row>
    <row r="19" spans="1:5">
      <c r="A19" t="s">
        <v>182</v>
      </c>
      <c r="B19" t="s">
        <v>183</v>
      </c>
      <c r="C19" t="s">
        <v>199</v>
      </c>
      <c r="D19" s="10">
        <v>121000</v>
      </c>
      <c r="E19" s="10">
        <f>D19*LOAD_FACTOR/12</f>
        <v>12301.666666666666</v>
      </c>
    </row>
    <row r="20" spans="1:5">
      <c r="A20" t="s">
        <v>200</v>
      </c>
      <c r="B20" t="s">
        <v>176</v>
      </c>
      <c r="C20" t="s">
        <v>201</v>
      </c>
      <c r="D20" s="10">
        <v>142500</v>
      </c>
      <c r="E20" s="10">
        <f>D20*LOAD_FACTOR/12</f>
        <v>14487.5</v>
      </c>
    </row>
    <row r="21" spans="1:5">
      <c r="A21" t="s">
        <v>202</v>
      </c>
      <c r="B21" t="s">
        <v>176</v>
      </c>
      <c r="C21" t="s">
        <v>203</v>
      </c>
      <c r="D21" s="10">
        <v>161500</v>
      </c>
      <c r="E21" s="10">
        <f>D21*LOAD_FACTOR/12</f>
        <v>16419.166666666668</v>
      </c>
    </row>
    <row r="22" spans="1:5">
      <c r="A22" s="2" t="s">
        <v>204</v>
      </c>
      <c r="B22" s="6">
        <f>B12+COUNTA(A15:A21)</f>
        <v>14</v>
      </c>
    </row>
    <row r="25" spans="1:5">
      <c r="A25" s="3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8"/>
  <sheetViews>
    <sheetView workbookViewId="0"/>
  </sheetViews>
  <sheetFormatPr defaultRowHeight="15"/>
  <cols>
    <col min="1" max="1" width="50.7109375" customWidth="1"/>
    <col min="2" max="14" width="15.7109375" customWidth="1"/>
  </cols>
  <sheetData>
    <row r="1" spans="1:14">
      <c r="A1" s="1" t="s">
        <v>205</v>
      </c>
    </row>
    <row r="3" spans="1:14">
      <c r="A3" s="2" t="s">
        <v>206</v>
      </c>
      <c r="B3" s="6">
        <f>COUNTIF(N9:N56,"&gt;0")</f>
        <v>29</v>
      </c>
    </row>
    <row r="4" spans="1:14">
      <c r="A4" s="2" t="s">
        <v>207</v>
      </c>
      <c r="B4" s="6">
        <f>AVERAGE(L9:L20)</f>
        <v>113684.09261197456</v>
      </c>
    </row>
    <row r="5" spans="1:14">
      <c r="A5" s="2" t="s">
        <v>23</v>
      </c>
      <c r="B5" s="6">
        <f>CASH_START</f>
        <v>641318</v>
      </c>
    </row>
    <row r="7" spans="1:14">
      <c r="A7" s="4" t="s">
        <v>208</v>
      </c>
      <c r="B7" s="4" t="s">
        <v>209</v>
      </c>
      <c r="C7" s="4" t="s">
        <v>89</v>
      </c>
      <c r="D7" s="4" t="s">
        <v>90</v>
      </c>
      <c r="E7" s="4" t="s">
        <v>91</v>
      </c>
      <c r="F7" s="4" t="s">
        <v>92</v>
      </c>
      <c r="G7" s="4" t="s">
        <v>115</v>
      </c>
      <c r="H7" s="4" t="s">
        <v>109</v>
      </c>
      <c r="I7" s="4" t="s">
        <v>110</v>
      </c>
      <c r="J7" s="4" t="s">
        <v>106</v>
      </c>
      <c r="K7" s="4" t="s">
        <v>210</v>
      </c>
      <c r="L7" s="4" t="s">
        <v>211</v>
      </c>
      <c r="M7" s="4" t="s">
        <v>212</v>
      </c>
      <c r="N7" s="4" t="s">
        <v>213</v>
      </c>
    </row>
    <row r="8" spans="1:14">
      <c r="A8" t="s">
        <v>74</v>
      </c>
      <c r="B8" s="10">
        <v>0</v>
      </c>
      <c r="N8" s="10">
        <f>CASH_START</f>
        <v>641318</v>
      </c>
    </row>
    <row r="9" spans="1:14">
      <c r="A9" t="s">
        <v>75</v>
      </c>
      <c r="B9" s="10">
        <v>1</v>
      </c>
      <c r="C9" s="10">
        <v>61351.95</v>
      </c>
      <c r="D9" s="10">
        <v>36764.24663333334</v>
      </c>
      <c r="E9" s="10">
        <f>C9+D9</f>
        <v>98116.19663333334</v>
      </c>
      <c r="F9" s="10">
        <v>32519.94314333333</v>
      </c>
      <c r="G9" s="10">
        <v>86609.84</v>
      </c>
      <c r="H9" s="10">
        <f>PROF_SERVICES_USD_MONTH</f>
        <v>2800.0</v>
      </c>
      <c r="I9" s="10">
        <f>ACCOUNTING_USD_MONTH</f>
        <v>2950</v>
      </c>
      <c r="J9" s="10">
        <v>0</v>
      </c>
      <c r="K9" s="10">
        <v>9800</v>
      </c>
      <c r="L9" s="10">
        <f>F9+G9+H9+I9+J9+K9-E9</f>
        <v>36563.586509999994</v>
      </c>
      <c r="M9" s="10">
        <v>0</v>
      </c>
      <c r="N9" s="10">
        <f>N8+M9-L9</f>
        <v>604754.41349</v>
      </c>
    </row>
    <row r="10" spans="1:14">
      <c r="A10" t="s">
        <v>77</v>
      </c>
      <c r="B10" s="10">
        <v>2</v>
      </c>
      <c r="C10" s="10">
        <v>63192.5085</v>
      </c>
      <c r="D10" s="10">
        <v>37867.17403233334</v>
      </c>
      <c r="E10" s="10">
        <f>C10+D10</f>
        <v>101059.68253233333</v>
      </c>
      <c r="F10" s="10">
        <v>33495.54143763334</v>
      </c>
      <c r="G10" s="10">
        <v>98657.34</v>
      </c>
      <c r="H10" s="10">
        <f>PROF_SERVICES_USD_MONTH</f>
        <v>2800.0</v>
      </c>
      <c r="I10" s="10">
        <f>ACCOUNTING_USD_MONTH</f>
        <v>2950</v>
      </c>
      <c r="J10" s="10">
        <v>30000</v>
      </c>
      <c r="K10" s="10">
        <v>9800</v>
      </c>
      <c r="L10" s="10">
        <f>F10+G10+H10+I10+J10+K10-E10</f>
        <v>76643.1989053</v>
      </c>
      <c r="M10" s="10">
        <v>3000000</v>
      </c>
      <c r="N10" s="10">
        <f>N9+M10-L10</f>
        <v>3528111.2145847</v>
      </c>
    </row>
    <row r="11" spans="1:14">
      <c r="A11" t="s">
        <v>78</v>
      </c>
      <c r="B11" s="10">
        <v>3</v>
      </c>
      <c r="C11" s="10">
        <v>65088.283755</v>
      </c>
      <c r="D11" s="10">
        <v>39003.18925330334</v>
      </c>
      <c r="E11" s="10">
        <f>C11+D11</f>
        <v>104091.47300830335</v>
      </c>
      <c r="F11" s="10">
        <v>34500.40768076234</v>
      </c>
      <c r="G11" s="10">
        <v>116550.6733333333</v>
      </c>
      <c r="H11" s="10">
        <f>PROF_SERVICES_USD_MONTH</f>
        <v>2800.0</v>
      </c>
      <c r="I11" s="10">
        <f>ACCOUNTING_USD_MONTH</f>
        <v>2950</v>
      </c>
      <c r="J11" s="10">
        <v>30000</v>
      </c>
      <c r="K11" s="10">
        <v>9800</v>
      </c>
      <c r="L11" s="10">
        <f>F11+G11+H11+I11+J11+K11-E11</f>
        <v>92509.60800579234</v>
      </c>
      <c r="M11" s="10">
        <v>0</v>
      </c>
      <c r="N11" s="10">
        <f>N10+M11-L11</f>
        <v>3435601.6065789075</v>
      </c>
    </row>
    <row r="12" spans="1:14">
      <c r="A12" t="s">
        <v>79</v>
      </c>
      <c r="B12" s="10">
        <v>4</v>
      </c>
      <c r="C12" s="10">
        <v>67040.93226765</v>
      </c>
      <c r="D12" s="10">
        <v>40173.28493090244</v>
      </c>
      <c r="E12" s="10">
        <f>C12+D12</f>
        <v>107214.21719855245</v>
      </c>
      <c r="F12" s="10">
        <v>35535.41991118521</v>
      </c>
      <c r="G12" s="10">
        <v>126463.1733333333</v>
      </c>
      <c r="H12" s="10">
        <f>PROF_SERVICES_USD_MONTH</f>
        <v>2800.0</v>
      </c>
      <c r="I12" s="10">
        <f>ACCOUNTING_USD_MONTH</f>
        <v>2950</v>
      </c>
      <c r="J12" s="10">
        <v>30000</v>
      </c>
      <c r="K12" s="10">
        <v>9800</v>
      </c>
      <c r="L12" s="10">
        <f>F12+G12+H12+I12+J12+K12-E12</f>
        <v>100334.37604596611</v>
      </c>
      <c r="M12" s="10">
        <v>0</v>
      </c>
      <c r="N12" s="10">
        <f>N11+M12-L12</f>
        <v>3335267.2305329414</v>
      </c>
    </row>
    <row r="13" spans="1:14">
      <c r="A13" t="s">
        <v>80</v>
      </c>
      <c r="B13" s="10">
        <v>5</v>
      </c>
      <c r="C13" s="10">
        <v>69052.1602356795</v>
      </c>
      <c r="D13" s="10">
        <v>41378.48347882951</v>
      </c>
      <c r="E13" s="10">
        <f>C13+D13</f>
        <v>110430.64371450902</v>
      </c>
      <c r="F13" s="10">
        <v>36601.48250852076</v>
      </c>
      <c r="G13" s="10">
        <v>139883.1733333333</v>
      </c>
      <c r="H13" s="10">
        <f>PROF_SERVICES_USD_MONTH</f>
        <v>2800.0</v>
      </c>
      <c r="I13" s="10">
        <f>ACCOUNTING_USD_MONTH</f>
        <v>2950</v>
      </c>
      <c r="J13" s="10">
        <v>30000</v>
      </c>
      <c r="K13" s="10">
        <v>9800</v>
      </c>
      <c r="L13" s="10">
        <f>F13+G13+H13+I13+J13+K13-E13</f>
        <v>111604.0121273451</v>
      </c>
      <c r="M13" s="10">
        <v>0</v>
      </c>
      <c r="N13" s="10">
        <f>N12+M13-L13</f>
        <v>3223663.2184055964</v>
      </c>
    </row>
    <row r="14" spans="1:14">
      <c r="A14" t="s">
        <v>81</v>
      </c>
      <c r="B14" s="10">
        <v>6</v>
      </c>
      <c r="C14" s="10">
        <v>71123.72504274989</v>
      </c>
      <c r="D14" s="10">
        <v>42619.8379831944</v>
      </c>
      <c r="E14" s="10">
        <f>C14+D14</f>
        <v>113743.56302594428</v>
      </c>
      <c r="F14" s="10">
        <v>37699.52698377638</v>
      </c>
      <c r="G14" s="10">
        <v>152184.84</v>
      </c>
      <c r="H14" s="10">
        <f>PROF_SERVICES_USD_MONTH</f>
        <v>2800.0</v>
      </c>
      <c r="I14" s="10">
        <f>ACCOUNTING_USD_MONTH</f>
        <v>2950</v>
      </c>
      <c r="J14" s="10">
        <v>30000</v>
      </c>
      <c r="K14" s="10">
        <v>9800</v>
      </c>
      <c r="L14" s="10">
        <f>F14+G14+H14+I14+J14+K14-E14</f>
        <v>121690.8039578321</v>
      </c>
      <c r="M14" s="10">
        <v>0</v>
      </c>
      <c r="N14" s="10">
        <f>N13+M14-L14</f>
        <v>3101972.4144477644</v>
      </c>
    </row>
    <row r="15" spans="1:14">
      <c r="A15" t="s">
        <v>82</v>
      </c>
      <c r="B15" s="10">
        <v>7</v>
      </c>
      <c r="C15" s="10">
        <v>73257.43679403239</v>
      </c>
      <c r="D15" s="10">
        <v>43898.43312269023</v>
      </c>
      <c r="E15" s="10">
        <f>C15+D15</f>
        <v>117155.86991672262</v>
      </c>
      <c r="F15" s="10">
        <v>38830.51279328968</v>
      </c>
      <c r="G15" s="10">
        <v>152184.84</v>
      </c>
      <c r="H15" s="10">
        <f>PROF_SERVICES_USD_MONTH</f>
        <v>2800.0</v>
      </c>
      <c r="I15" s="10">
        <f>ACCOUNTING_USD_MONTH</f>
        <v>2950</v>
      </c>
      <c r="J15" s="10">
        <v>30000</v>
      </c>
      <c r="K15" s="10">
        <v>13700</v>
      </c>
      <c r="L15" s="10">
        <f>F15+G15+H15+I15+J15+K15-E15</f>
        <v>123309.48287656705</v>
      </c>
      <c r="M15" s="10">
        <v>0</v>
      </c>
      <c r="N15" s="10">
        <f>N14+M15-L15</f>
        <v>2978662.931571197</v>
      </c>
    </row>
    <row r="16" spans="1:14">
      <c r="A16" t="s">
        <v>83</v>
      </c>
      <c r="B16" s="10">
        <v>8</v>
      </c>
      <c r="C16" s="10">
        <v>75455.15989785336</v>
      </c>
      <c r="D16" s="10">
        <v>45215.38611637094</v>
      </c>
      <c r="E16" s="10">
        <f>C16+D16</f>
        <v>120670.5460142243</v>
      </c>
      <c r="F16" s="10">
        <v>39995.42817708837</v>
      </c>
      <c r="G16" s="10">
        <v>166672.34</v>
      </c>
      <c r="H16" s="10">
        <f>PROF_SERVICES_USD_MONTH</f>
        <v>2800.0</v>
      </c>
      <c r="I16" s="10">
        <f>ACCOUNTING_USD_MONTH</f>
        <v>2950</v>
      </c>
      <c r="J16" s="10">
        <v>30000</v>
      </c>
      <c r="K16" s="10">
        <v>13700</v>
      </c>
      <c r="L16" s="10">
        <f>F16+G16+H16+I16+J16+K16-E16</f>
        <v>135447.22216286405</v>
      </c>
      <c r="M16" s="10">
        <v>0</v>
      </c>
      <c r="N16" s="10">
        <f>N15+M16-L16</f>
        <v>2843215.709408333</v>
      </c>
    </row>
    <row r="17" spans="1:14">
      <c r="A17" t="s">
        <v>84</v>
      </c>
      <c r="B17" s="10">
        <v>9</v>
      </c>
      <c r="C17" s="10">
        <v>77718.81469478896</v>
      </c>
      <c r="D17" s="10">
        <v>46571.84769986207</v>
      </c>
      <c r="E17" s="10">
        <f>C17+D17</f>
        <v>124290.66239465104</v>
      </c>
      <c r="F17" s="10">
        <v>41195.29102240103</v>
      </c>
      <c r="G17" s="10">
        <v>166672.34</v>
      </c>
      <c r="H17" s="10">
        <f>PROF_SERVICES_USD_MONTH</f>
        <v>2800.0</v>
      </c>
      <c r="I17" s="10">
        <f>ACCOUNTING_USD_MONTH</f>
        <v>2950</v>
      </c>
      <c r="J17" s="10">
        <v>30000</v>
      </c>
      <c r="K17" s="10">
        <v>13700</v>
      </c>
      <c r="L17" s="10">
        <f>F17+G17+H17+I17+J17+K17-E17</f>
        <v>133026.96862775</v>
      </c>
      <c r="M17" s="10">
        <v>0</v>
      </c>
      <c r="N17" s="10">
        <f>N16+M17-L17</f>
        <v>2710188.740780583</v>
      </c>
    </row>
    <row r="18" spans="1:14">
      <c r="A18" t="s">
        <v>85</v>
      </c>
      <c r="B18" s="10">
        <v>10</v>
      </c>
      <c r="C18" s="10">
        <v>80050.37913563263</v>
      </c>
      <c r="D18" s="10">
        <v>47969.00313085793</v>
      </c>
      <c r="E18" s="10">
        <f>C18+D18</f>
        <v>128019.38226649056</v>
      </c>
      <c r="F18" s="10">
        <v>42431.14975307306</v>
      </c>
      <c r="G18" s="10">
        <v>183091.5066666667</v>
      </c>
      <c r="H18" s="10">
        <f>PROF_SERVICES_USD_MONTH</f>
        <v>2800.0</v>
      </c>
      <c r="I18" s="10">
        <f>ACCOUNTING_USD_MONTH</f>
        <v>2950</v>
      </c>
      <c r="J18" s="10">
        <v>30000</v>
      </c>
      <c r="K18" s="10">
        <v>13700</v>
      </c>
      <c r="L18" s="10">
        <f>F18+G18+H18+I18+J18+K18-E18</f>
        <v>146953.27415324916</v>
      </c>
      <c r="M18" s="10">
        <v>0</v>
      </c>
      <c r="N18" s="10">
        <f>N17+M18-L18</f>
        <v>2563235.466627334</v>
      </c>
    </row>
    <row r="19" spans="1:14">
      <c r="A19" t="s">
        <v>86</v>
      </c>
      <c r="B19" s="10">
        <v>11</v>
      </c>
      <c r="C19" s="10">
        <v>82451.89050970161</v>
      </c>
      <c r="D19" s="10">
        <v>49408.07322478367</v>
      </c>
      <c r="E19" s="10">
        <f>C19+D19</f>
        <v>131859.96373448527</v>
      </c>
      <c r="F19" s="10">
        <v>43704.08424566525</v>
      </c>
      <c r="G19" s="10">
        <v>183091.5066666667</v>
      </c>
      <c r="H19" s="10">
        <f>PROF_SERVICES_USD_MONTH</f>
        <v>2800.0</v>
      </c>
      <c r="I19" s="10">
        <f>ACCOUNTING_USD_MONTH</f>
        <v>2950</v>
      </c>
      <c r="J19" s="10">
        <v>30000</v>
      </c>
      <c r="K19" s="10">
        <v>13700</v>
      </c>
      <c r="L19" s="10">
        <f>F19+G19+H19+I19+J19+K19-E19</f>
        <v>144385.62717784668</v>
      </c>
      <c r="M19" s="10">
        <v>0</v>
      </c>
      <c r="N19" s="10">
        <f>N18+M19-L19</f>
        <v>2418849.839449487</v>
      </c>
    </row>
    <row r="20" spans="1:14">
      <c r="A20" t="s">
        <v>87</v>
      </c>
      <c r="B20" s="10">
        <v>12</v>
      </c>
      <c r="C20" s="10">
        <v>84925.44722499266</v>
      </c>
      <c r="D20" s="10">
        <v>50890.31542152719</v>
      </c>
      <c r="E20" s="10">
        <f>C20+D20</f>
        <v>135815.76264651984</v>
      </c>
      <c r="F20" s="10">
        <v>45015.20677303521</v>
      </c>
      <c r="G20" s="10">
        <v>183091.5066666667</v>
      </c>
      <c r="H20" s="10">
        <f>PROF_SERVICES_USD_MONTH</f>
        <v>2800.0</v>
      </c>
      <c r="I20" s="10">
        <f>ACCOUNTING_USD_MONTH</f>
        <v>2950</v>
      </c>
      <c r="J20" s="10">
        <v>30000</v>
      </c>
      <c r="K20" s="10">
        <v>13700</v>
      </c>
      <c r="L20" s="10">
        <f>F20+G20+H20+I20+J20+K20-E20</f>
        <v>141740.95079318204</v>
      </c>
      <c r="M20" s="10">
        <v>0</v>
      </c>
      <c r="N20" s="10">
        <f>N19+M20-L20</f>
        <v>2277108.888656305</v>
      </c>
    </row>
    <row r="21" spans="1:14">
      <c r="A21" t="s">
        <v>214</v>
      </c>
      <c r="B21" s="10">
        <v>13</v>
      </c>
      <c r="C21" s="10">
        <v>86199.32893336755</v>
      </c>
      <c r="D21" s="10">
        <v>51653.67015285009</v>
      </c>
      <c r="E21" s="10">
        <f>C21+D21</f>
        <v>137852.99908621763</v>
      </c>
      <c r="F21" s="10">
        <v>45690.43487463074</v>
      </c>
      <c r="G21" s="10">
        <v>183091.5066666667</v>
      </c>
      <c r="H21" s="10">
        <f>PROF_SERVICES_USD_MONTH</f>
        <v>2800.0</v>
      </c>
      <c r="I21" s="10">
        <f>ACCOUNTING_USD_MONTH</f>
        <v>2950</v>
      </c>
      <c r="J21" s="10">
        <v>30000</v>
      </c>
      <c r="K21" s="10">
        <v>13700</v>
      </c>
      <c r="L21" s="10">
        <f>F21+G21+H21+I21+J21+K21-E21</f>
        <v>140378.94245507978</v>
      </c>
      <c r="M21" s="10">
        <v>0</v>
      </c>
      <c r="N21" s="10">
        <f>N20+M21-L21</f>
        <v>2136729.9462012253</v>
      </c>
    </row>
    <row r="22" spans="1:14">
      <c r="A22" t="s">
        <v>215</v>
      </c>
      <c r="B22" s="10">
        <v>14</v>
      </c>
      <c r="C22" s="10">
        <v>87492.31886736806</v>
      </c>
      <c r="D22" s="10">
        <v>52428.47520514284</v>
      </c>
      <c r="E22" s="10">
        <f>C22+D22</f>
        <v>139920.7940725109</v>
      </c>
      <c r="F22" s="10">
        <v>46375.79139775019</v>
      </c>
      <c r="G22" s="10">
        <v>183091.5066666667</v>
      </c>
      <c r="H22" s="10">
        <f>PROF_SERVICES_USD_MONTH</f>
        <v>2800.0</v>
      </c>
      <c r="I22" s="10">
        <f>ACCOUNTING_USD_MONTH</f>
        <v>2950</v>
      </c>
      <c r="J22" s="10">
        <v>30000</v>
      </c>
      <c r="K22" s="10">
        <v>13700</v>
      </c>
      <c r="L22" s="10">
        <f>F22+G22+H22+I22+J22+K22-E22</f>
        <v>138996.50399190595</v>
      </c>
      <c r="M22" s="10">
        <v>0</v>
      </c>
      <c r="N22" s="10">
        <f>N21+M22-L22</f>
        <v>1997733.4422093192</v>
      </c>
    </row>
    <row r="23" spans="1:14">
      <c r="A23" t="s">
        <v>216</v>
      </c>
      <c r="B23" s="10">
        <v>15</v>
      </c>
      <c r="C23" s="10">
        <v>88804.70365037856</v>
      </c>
      <c r="D23" s="10">
        <v>53214.90233321997</v>
      </c>
      <c r="E23" s="10">
        <f>C23+D23</f>
        <v>142019.60598359854</v>
      </c>
      <c r="F23" s="10">
        <v>47071.42826871643</v>
      </c>
      <c r="G23" s="10">
        <v>183091.5066666667</v>
      </c>
      <c r="H23" s="10">
        <f>PROF_SERVICES_USD_MONTH</f>
        <v>2800.0</v>
      </c>
      <c r="I23" s="10">
        <f>ACCOUNTING_USD_MONTH</f>
        <v>2950</v>
      </c>
      <c r="J23" s="10">
        <v>30000</v>
      </c>
      <c r="K23" s="10">
        <v>13700</v>
      </c>
      <c r="L23" s="10">
        <f>F23+G23+H23+I23+J23+K23-E23</f>
        <v>137593.3289517846</v>
      </c>
      <c r="M23" s="10">
        <v>0</v>
      </c>
      <c r="N23" s="10">
        <f>N22+M23-L23</f>
        <v>1860140.1132575346</v>
      </c>
    </row>
    <row r="24" spans="1:14">
      <c r="A24" t="s">
        <v>217</v>
      </c>
      <c r="B24" s="10">
        <v>16</v>
      </c>
      <c r="C24" s="10">
        <v>90136.77420513424</v>
      </c>
      <c r="D24" s="10">
        <v>54013.12586821827</v>
      </c>
      <c r="E24" s="10">
        <f>C24+D24</f>
        <v>144149.9000733525</v>
      </c>
      <c r="F24" s="10">
        <v>47777.49969274718</v>
      </c>
      <c r="G24" s="10">
        <v>183091.5066666667</v>
      </c>
      <c r="H24" s="10">
        <f>PROF_SERVICES_USD_MONTH</f>
        <v>2800.0</v>
      </c>
      <c r="I24" s="10">
        <f>ACCOUNTING_USD_MONTH</f>
        <v>2950</v>
      </c>
      <c r="J24" s="10">
        <v>30000</v>
      </c>
      <c r="K24" s="10">
        <v>13700</v>
      </c>
      <c r="L24" s="10">
        <f>F24+G24+H24+I24+J24+K24-E24</f>
        <v>136169.10628606135</v>
      </c>
      <c r="M24" s="10">
        <v>0</v>
      </c>
      <c r="N24" s="10">
        <f>N23+M24-L24</f>
        <v>1723971.0069714733</v>
      </c>
    </row>
    <row r="25" spans="1:14">
      <c r="A25" t="s">
        <v>218</v>
      </c>
      <c r="B25" s="10">
        <v>17</v>
      </c>
      <c r="C25" s="10">
        <v>91488.82581821123</v>
      </c>
      <c r="D25" s="10">
        <v>54823.32275624153</v>
      </c>
      <c r="E25" s="10">
        <f>C25+D25</f>
        <v>146312.14857445276</v>
      </c>
      <c r="F25" s="10">
        <v>48494.16218813838</v>
      </c>
      <c r="G25" s="10">
        <v>183091.5066666667</v>
      </c>
      <c r="H25" s="10">
        <f>PROF_SERVICES_USD_MONTH</f>
        <v>2800.0</v>
      </c>
      <c r="I25" s="10">
        <f>ACCOUNTING_USD_MONTH</f>
        <v>2950</v>
      </c>
      <c r="J25" s="10">
        <v>30000</v>
      </c>
      <c r="K25" s="10">
        <v>13700</v>
      </c>
      <c r="L25" s="10">
        <f>F25+G25+H25+I25+J25+K25-E25</f>
        <v>134723.5202803523</v>
      </c>
      <c r="M25" s="10">
        <v>0</v>
      </c>
      <c r="N25" s="10">
        <f>N24+M25-L25</f>
        <v>1589247.486691121</v>
      </c>
    </row>
    <row r="26" spans="1:14">
      <c r="A26" t="s">
        <v>219</v>
      </c>
      <c r="B26" s="10">
        <v>18</v>
      </c>
      <c r="C26" s="10">
        <v>92861.15820548439</v>
      </c>
      <c r="D26" s="10">
        <v>55645.67259758515</v>
      </c>
      <c r="E26" s="10">
        <f>C26+D26</f>
        <v>148506.83080306955</v>
      </c>
      <c r="F26" s="10">
        <v>49221.57462096045</v>
      </c>
      <c r="G26" s="10">
        <v>183091.5066666667</v>
      </c>
      <c r="H26" s="10">
        <f>PROF_SERVICES_USD_MONTH</f>
        <v>2800.0</v>
      </c>
      <c r="I26" s="10">
        <f>ACCOUNTING_USD_MONTH</f>
        <v>2950</v>
      </c>
      <c r="J26" s="10">
        <v>30000</v>
      </c>
      <c r="K26" s="10">
        <v>13700</v>
      </c>
      <c r="L26" s="10">
        <f>F26+G26+H26+I26+J26+K26-E26</f>
        <v>133256.25048455756</v>
      </c>
      <c r="M26" s="10">
        <v>0</v>
      </c>
      <c r="N26" s="10">
        <f>N25+M26-L26</f>
        <v>1455991.2362065634</v>
      </c>
    </row>
    <row r="27" spans="1:14">
      <c r="A27" t="s">
        <v>220</v>
      </c>
      <c r="B27" s="10">
        <v>19</v>
      </c>
      <c r="C27" s="10">
        <v>94254.07557856664</v>
      </c>
      <c r="D27" s="10">
        <v>56480.35768654892</v>
      </c>
      <c r="E27" s="10">
        <f>C27+D27</f>
        <v>150734.43326511557</v>
      </c>
      <c r="F27" s="10">
        <v>49959.89824027485</v>
      </c>
      <c r="G27" s="10">
        <v>183091.5066666667</v>
      </c>
      <c r="H27" s="10">
        <f>PROF_SERVICES_USD_MONTH</f>
        <v>2800.0</v>
      </c>
      <c r="I27" s="10">
        <f>ACCOUNTING_USD_MONTH</f>
        <v>2950</v>
      </c>
      <c r="J27" s="10">
        <v>30000</v>
      </c>
      <c r="K27" s="10">
        <v>13700</v>
      </c>
      <c r="L27" s="10">
        <f>F27+G27+H27+I27+J27+K27-E27</f>
        <v>131766.97164182595</v>
      </c>
      <c r="M27" s="10">
        <v>0</v>
      </c>
      <c r="N27" s="10">
        <f>N26+M27-L27</f>
        <v>1324224.2645647374</v>
      </c>
    </row>
    <row r="28" spans="1:14">
      <c r="A28" t="s">
        <v>221</v>
      </c>
      <c r="B28" s="10">
        <v>20</v>
      </c>
      <c r="C28" s="10">
        <v>95667.88671224513</v>
      </c>
      <c r="D28" s="10">
        <v>57327.56305184715</v>
      </c>
      <c r="E28" s="10">
        <f>C28+D28</f>
        <v>152995.44976409228</v>
      </c>
      <c r="F28" s="10">
        <v>50709.29671387897</v>
      </c>
      <c r="G28" s="10">
        <v>183091.5066666667</v>
      </c>
      <c r="H28" s="10">
        <f>PROF_SERVICES_USD_MONTH</f>
        <v>2800.0</v>
      </c>
      <c r="I28" s="10">
        <f>ACCOUNTING_USD_MONTH</f>
        <v>2950</v>
      </c>
      <c r="J28" s="10">
        <v>30000</v>
      </c>
      <c r="K28" s="10">
        <v>13700</v>
      </c>
      <c r="L28" s="10">
        <f>F28+G28+H28+I28+J28+K28-E28</f>
        <v>130255.35361645336</v>
      </c>
      <c r="M28" s="10">
        <v>0</v>
      </c>
      <c r="N28" s="10">
        <f>N27+M28-L28</f>
        <v>1193968.910948284</v>
      </c>
    </row>
    <row r="29" spans="1:14">
      <c r="A29" t="s">
        <v>222</v>
      </c>
      <c r="B29" s="10">
        <v>21</v>
      </c>
      <c r="C29" s="10">
        <v>97102.90501292881</v>
      </c>
      <c r="D29" s="10">
        <v>58187.47649762486</v>
      </c>
      <c r="E29" s="10">
        <f>C29+D29</f>
        <v>155290.38151055365</v>
      </c>
      <c r="F29" s="10">
        <v>51469.93616458715</v>
      </c>
      <c r="G29" s="10">
        <v>183091.5066666667</v>
      </c>
      <c r="H29" s="10">
        <f>PROF_SERVICES_USD_MONTH</f>
        <v>2800.0</v>
      </c>
      <c r="I29" s="10">
        <f>ACCOUNTING_USD_MONTH</f>
        <v>2950</v>
      </c>
      <c r="J29" s="10">
        <v>30000</v>
      </c>
      <c r="K29" s="10">
        <v>13700</v>
      </c>
      <c r="L29" s="10">
        <f>F29+G29+H29+I29+J29+K29-E29</f>
        <v>128721.06132070022</v>
      </c>
      <c r="M29" s="10">
        <v>0</v>
      </c>
      <c r="N29" s="10">
        <f>N28+M29-L29</f>
        <v>1065247.8496275838</v>
      </c>
    </row>
    <row r="30" spans="1:14">
      <c r="A30" t="s">
        <v>223</v>
      </c>
      <c r="B30" s="10">
        <v>22</v>
      </c>
      <c r="C30" s="10">
        <v>98559.44858812273</v>
      </c>
      <c r="D30" s="10">
        <v>59060.28864508923</v>
      </c>
      <c r="E30" s="10">
        <f>C30+D30</f>
        <v>157619.73723321196</v>
      </c>
      <c r="F30" s="10">
        <v>52241.98520705595</v>
      </c>
      <c r="G30" s="10">
        <v>183091.5066666667</v>
      </c>
      <c r="H30" s="10">
        <f>PROF_SERVICES_USD_MONTH</f>
        <v>2800.0</v>
      </c>
      <c r="I30" s="10">
        <f>ACCOUNTING_USD_MONTH</f>
        <v>2950</v>
      </c>
      <c r="J30" s="10">
        <v>30000</v>
      </c>
      <c r="K30" s="10">
        <v>13700</v>
      </c>
      <c r="L30" s="10">
        <f>F30+G30+H30+I30+J30+K30-E30</f>
        <v>127163.75464051068</v>
      </c>
      <c r="M30" s="10">
        <v>0</v>
      </c>
      <c r="N30" s="10">
        <f>N29+M30-L30</f>
        <v>938084.0949870731</v>
      </c>
    </row>
    <row r="31" spans="1:14">
      <c r="A31" t="s">
        <v>224</v>
      </c>
      <c r="B31" s="10">
        <v>23</v>
      </c>
      <c r="C31" s="10">
        <v>100037.8403169446</v>
      </c>
      <c r="D31" s="10">
        <v>59946.19297476556</v>
      </c>
      <c r="E31" s="10">
        <f>C31+D31</f>
        <v>159984.03329171013</v>
      </c>
      <c r="F31" s="10">
        <v>53025.6149851618</v>
      </c>
      <c r="G31" s="10">
        <v>183091.5066666667</v>
      </c>
      <c r="H31" s="10">
        <f>PROF_SERVICES_USD_MONTH</f>
        <v>2800.0</v>
      </c>
      <c r="I31" s="10">
        <f>ACCOUNTING_USD_MONTH</f>
        <v>2950</v>
      </c>
      <c r="J31" s="10">
        <v>30000</v>
      </c>
      <c r="K31" s="10">
        <v>13700</v>
      </c>
      <c r="L31" s="10">
        <f>F31+G31+H31+I31+J31+K31-E31</f>
        <v>125583.08836011833</v>
      </c>
      <c r="M31" s="10">
        <v>0</v>
      </c>
      <c r="N31" s="10">
        <f>N30+M31-L31</f>
        <v>812501.0066269548</v>
      </c>
    </row>
    <row r="32" spans="1:14">
      <c r="A32" t="s">
        <v>225</v>
      </c>
      <c r="B32" s="10">
        <v>24</v>
      </c>
      <c r="C32" s="10">
        <v>101538.4079216987</v>
      </c>
      <c r="D32" s="10">
        <v>60845.38586938704</v>
      </c>
      <c r="E32" s="10">
        <f>C32+D32</f>
        <v>162383.79379108577</v>
      </c>
      <c r="F32" s="10">
        <v>53820.99920993921</v>
      </c>
      <c r="G32" s="10">
        <v>183091.5066666667</v>
      </c>
      <c r="H32" s="10">
        <f>PROF_SERVICES_USD_MONTH</f>
        <v>2800.0</v>
      </c>
      <c r="I32" s="10">
        <f>ACCOUNTING_USD_MONTH</f>
        <v>2950</v>
      </c>
      <c r="J32" s="10">
        <v>30000</v>
      </c>
      <c r="K32" s="10">
        <v>13700</v>
      </c>
      <c r="L32" s="10">
        <f>F32+G32+H32+I32+J32+K32-E32</f>
        <v>123978.71208552009</v>
      </c>
      <c r="M32" s="10">
        <v>0</v>
      </c>
      <c r="N32" s="10">
        <f>N31+M32-L32</f>
        <v>688522.2945414346</v>
      </c>
    </row>
    <row r="33" spans="1:14">
      <c r="A33" t="s">
        <v>226</v>
      </c>
      <c r="B33" s="10">
        <v>25</v>
      </c>
      <c r="C33" s="10">
        <v>102553.7920009157</v>
      </c>
      <c r="D33" s="10">
        <v>61453.83972808091</v>
      </c>
      <c r="E33" s="10">
        <f>C33+D33</f>
        <v>164007.63172899664</v>
      </c>
      <c r="F33" s="10">
        <v>54359.2092020386</v>
      </c>
      <c r="G33" s="10">
        <v>183091.5066666667</v>
      </c>
      <c r="H33" s="10">
        <f>PROF_SERVICES_USD_MONTH</f>
        <v>2800.0</v>
      </c>
      <c r="I33" s="10">
        <f>ACCOUNTING_USD_MONTH</f>
        <v>2950</v>
      </c>
      <c r="J33" s="10">
        <v>30000</v>
      </c>
      <c r="K33" s="10">
        <v>13700</v>
      </c>
      <c r="L33" s="10">
        <f>F33+G33+H33+I33+J33+K33-E33</f>
        <v>122893.08413970866</v>
      </c>
      <c r="M33" s="10">
        <v>0</v>
      </c>
      <c r="N33" s="10">
        <f>N32+M33-L33</f>
        <v>565629.210401726</v>
      </c>
    </row>
    <row r="34" spans="1:14">
      <c r="A34" t="s">
        <v>227</v>
      </c>
      <c r="B34" s="10">
        <v>26</v>
      </c>
      <c r="C34" s="10">
        <v>103579.3299209249</v>
      </c>
      <c r="D34" s="10">
        <v>62068.37812536172</v>
      </c>
      <c r="E34" s="10">
        <f>C34+D34</f>
        <v>165647.7080462866</v>
      </c>
      <c r="F34" s="10">
        <v>54902.80129405899</v>
      </c>
      <c r="G34" s="10">
        <v>183091.5066666667</v>
      </c>
      <c r="H34" s="10">
        <f>PROF_SERVICES_USD_MONTH</f>
        <v>2800.0</v>
      </c>
      <c r="I34" s="10">
        <f>ACCOUNTING_USD_MONTH</f>
        <v>2950</v>
      </c>
      <c r="J34" s="10">
        <v>30000</v>
      </c>
      <c r="K34" s="10">
        <v>13700</v>
      </c>
      <c r="L34" s="10">
        <f>F34+G34+H34+I34+J34+K34-E34</f>
        <v>121796.59991443908</v>
      </c>
      <c r="M34" s="10">
        <v>0</v>
      </c>
      <c r="N34" s="10">
        <f>N33+M34-L34</f>
        <v>443832.6104872869</v>
      </c>
    </row>
    <row r="35" spans="1:14">
      <c r="A35" t="s">
        <v>228</v>
      </c>
      <c r="B35" s="10">
        <v>27</v>
      </c>
      <c r="C35" s="10">
        <v>104615.1232201341</v>
      </c>
      <c r="D35" s="10">
        <v>62689.06190661534</v>
      </c>
      <c r="E35" s="10">
        <f>C35+D35</f>
        <v>167304.18512674948</v>
      </c>
      <c r="F35" s="10">
        <v>55451.82930699959</v>
      </c>
      <c r="G35" s="10">
        <v>183091.5066666667</v>
      </c>
      <c r="H35" s="10">
        <f>PROF_SERVICES_USD_MONTH</f>
        <v>2800.0</v>
      </c>
      <c r="I35" s="10">
        <f>ACCOUNTING_USD_MONTH</f>
        <v>2950</v>
      </c>
      <c r="J35" s="10">
        <v>30000</v>
      </c>
      <c r="K35" s="10">
        <v>13700</v>
      </c>
      <c r="L35" s="10">
        <f>F35+G35+H35+I35+J35+K35-E35</f>
        <v>120689.1508469168</v>
      </c>
      <c r="M35" s="10">
        <v>0</v>
      </c>
      <c r="N35" s="10">
        <f>N34+M35-L35</f>
        <v>323143.4596403701</v>
      </c>
    </row>
    <row r="36" spans="1:14">
      <c r="A36" t="s">
        <v>229</v>
      </c>
      <c r="B36" s="10">
        <v>28</v>
      </c>
      <c r="C36" s="10">
        <v>105661.2744523355</v>
      </c>
      <c r="D36" s="10">
        <v>63315.95252568149</v>
      </c>
      <c r="E36" s="10">
        <f>C36+D36</f>
        <v>168977.22697801696</v>
      </c>
      <c r="F36" s="10">
        <v>56006.34760006958</v>
      </c>
      <c r="G36" s="10">
        <v>183091.5066666667</v>
      </c>
      <c r="H36" s="10">
        <f>PROF_SERVICES_USD_MONTH</f>
        <v>2800.0</v>
      </c>
      <c r="I36" s="10">
        <f>ACCOUNTING_USD_MONTH</f>
        <v>2950</v>
      </c>
      <c r="J36" s="10">
        <v>30000</v>
      </c>
      <c r="K36" s="10">
        <v>13700</v>
      </c>
      <c r="L36" s="10">
        <f>F36+G36+H36+I36+J36+K36-E36</f>
        <v>119570.62728871929</v>
      </c>
      <c r="M36" s="10">
        <v>0</v>
      </c>
      <c r="N36" s="10">
        <f>N35+M36-L36</f>
        <v>203572.8323516508</v>
      </c>
    </row>
    <row r="37" spans="1:14">
      <c r="A37" t="s">
        <v>230</v>
      </c>
      <c r="B37" s="10">
        <v>29</v>
      </c>
      <c r="C37" s="10">
        <v>106717.8871968588</v>
      </c>
      <c r="D37" s="10">
        <v>63949.1120509383</v>
      </c>
      <c r="E37" s="10">
        <f>C37+D37</f>
        <v>170666.99924779712</v>
      </c>
      <c r="F37" s="10">
        <v>56566.41107607028</v>
      </c>
      <c r="G37" s="10">
        <v>183091.5066666667</v>
      </c>
      <c r="H37" s="10">
        <f>PROF_SERVICES_USD_MONTH</f>
        <v>2800.0</v>
      </c>
      <c r="I37" s="10">
        <f>ACCOUNTING_USD_MONTH</f>
        <v>2950</v>
      </c>
      <c r="J37" s="10">
        <v>30000</v>
      </c>
      <c r="K37" s="10">
        <v>13700</v>
      </c>
      <c r="L37" s="10">
        <f>F37+G37+H37+I37+J37+K37-E37</f>
        <v>118440.91849493986</v>
      </c>
      <c r="M37" s="10">
        <v>0</v>
      </c>
      <c r="N37" s="10">
        <f>N36+M37-L37</f>
        <v>85131.91385671095</v>
      </c>
    </row>
    <row r="38" spans="1:14">
      <c r="A38" t="s">
        <v>231</v>
      </c>
      <c r="B38" s="10">
        <v>30</v>
      </c>
      <c r="C38" s="10">
        <v>107785.0660688274</v>
      </c>
      <c r="D38" s="10">
        <v>64588.60317144768</v>
      </c>
      <c r="E38" s="10">
        <f>C38+D38</f>
        <v>172373.6692402751</v>
      </c>
      <c r="F38" s="10">
        <v>57132.07518683098</v>
      </c>
      <c r="G38" s="10">
        <v>183091.5066666667</v>
      </c>
      <c r="H38" s="10">
        <f>PROF_SERVICES_USD_MONTH</f>
        <v>2800.0</v>
      </c>
      <c r="I38" s="10">
        <f>ACCOUNTING_USD_MONTH</f>
        <v>2950</v>
      </c>
      <c r="J38" s="10">
        <v>30000</v>
      </c>
      <c r="K38" s="10">
        <v>13700</v>
      </c>
      <c r="L38" s="10">
        <f>F38+G38+H38+I38+J38+K38-E38</f>
        <v>117299.91261322255</v>
      </c>
      <c r="M38" s="10">
        <v>0</v>
      </c>
      <c r="N38" s="10">
        <f>N37+M38-L38</f>
        <v>-32167.998756511603</v>
      </c>
    </row>
    <row r="39" spans="1:14">
      <c r="A39" t="s">
        <v>232</v>
      </c>
      <c r="B39" s="10">
        <v>31</v>
      </c>
      <c r="C39" s="10">
        <v>108862.9167295157</v>
      </c>
      <c r="D39" s="10">
        <v>65234.48920316216</v>
      </c>
      <c r="E39" s="10">
        <f>C39+D39</f>
        <v>174097.40593267785</v>
      </c>
      <c r="F39" s="10">
        <v>57703.39593869929</v>
      </c>
      <c r="G39" s="10">
        <v>183091.5066666667</v>
      </c>
      <c r="H39" s="10">
        <f>PROF_SERVICES_USD_MONTH</f>
        <v>2800.0</v>
      </c>
      <c r="I39" s="10">
        <f>ACCOUNTING_USD_MONTH</f>
        <v>2950</v>
      </c>
      <c r="J39" s="10">
        <v>30000</v>
      </c>
      <c r="K39" s="10">
        <v>13700</v>
      </c>
      <c r="L39" s="10">
        <f>F39+G39+H39+I39+J39+K39-E39</f>
        <v>116147.49667268811</v>
      </c>
      <c r="M39" s="10">
        <v>0</v>
      </c>
      <c r="N39" s="10">
        <f>N38+M39-L39</f>
        <v>-148315.4954291997</v>
      </c>
    </row>
    <row r="40" spans="1:14">
      <c r="A40" t="s">
        <v>233</v>
      </c>
      <c r="B40" s="10">
        <v>32</v>
      </c>
      <c r="C40" s="10">
        <v>109951.5458968109</v>
      </c>
      <c r="D40" s="10">
        <v>65886.83409519379</v>
      </c>
      <c r="E40" s="10">
        <f>C40+D40</f>
        <v>175838.37999200466</v>
      </c>
      <c r="F40" s="10">
        <v>58280.42989808628</v>
      </c>
      <c r="G40" s="10">
        <v>183091.5066666667</v>
      </c>
      <c r="H40" s="10">
        <f>PROF_SERVICES_USD_MONTH</f>
        <v>2800.0</v>
      </c>
      <c r="I40" s="10">
        <f>ACCOUNTING_USD_MONTH</f>
        <v>2950</v>
      </c>
      <c r="J40" s="10">
        <v>30000</v>
      </c>
      <c r="K40" s="10">
        <v>13700</v>
      </c>
      <c r="L40" s="10">
        <f>F40+G40+H40+I40+J40+K40-E40</f>
        <v>114983.55657274829</v>
      </c>
      <c r="M40" s="10">
        <v>0</v>
      </c>
      <c r="N40" s="10">
        <f>N39+M40-L40</f>
        <v>-263299.052001948</v>
      </c>
    </row>
    <row r="41" spans="1:14">
      <c r="A41" t="s">
        <v>234</v>
      </c>
      <c r="B41" s="10">
        <v>33</v>
      </c>
      <c r="C41" s="10">
        <v>111051.061355779</v>
      </c>
      <c r="D41" s="10">
        <v>66545.70243614573</v>
      </c>
      <c r="E41" s="10">
        <f>C41+D41</f>
        <v>177596.7637919247</v>
      </c>
      <c r="F41" s="10">
        <v>58863.23419706715</v>
      </c>
      <c r="G41" s="10">
        <v>183091.5066666667</v>
      </c>
      <c r="H41" s="10">
        <f>PROF_SERVICES_USD_MONTH</f>
        <v>2800.0</v>
      </c>
      <c r="I41" s="10">
        <f>ACCOUNTING_USD_MONTH</f>
        <v>2950</v>
      </c>
      <c r="J41" s="10">
        <v>30000</v>
      </c>
      <c r="K41" s="10">
        <v>13700</v>
      </c>
      <c r="L41" s="10">
        <f>F41+G41+H41+I41+J41+K41-E41</f>
        <v>113807.97707180912</v>
      </c>
      <c r="M41" s="10">
        <v>0</v>
      </c>
      <c r="N41" s="10">
        <f>N40+M41-L41</f>
        <v>-377107.0290737571</v>
      </c>
    </row>
    <row r="42" spans="1:14">
      <c r="A42" t="s">
        <v>235</v>
      </c>
      <c r="B42" s="10">
        <v>34</v>
      </c>
      <c r="C42" s="10">
        <v>112161.5719693368</v>
      </c>
      <c r="D42" s="10">
        <v>67211.15946050719</v>
      </c>
      <c r="E42" s="10">
        <f>C42+D42</f>
        <v>179372.73142984393</v>
      </c>
      <c r="F42" s="10">
        <v>59451.86653903782</v>
      </c>
      <c r="G42" s="10">
        <v>183091.5066666667</v>
      </c>
      <c r="H42" s="10">
        <f>PROF_SERVICES_USD_MONTH</f>
        <v>2800.0</v>
      </c>
      <c r="I42" s="10">
        <f>ACCOUNTING_USD_MONTH</f>
        <v>2950</v>
      </c>
      <c r="J42" s="10">
        <v>30000</v>
      </c>
      <c r="K42" s="10">
        <v>13700</v>
      </c>
      <c r="L42" s="10">
        <f>F42+G42+H42+I42+J42+K42-E42</f>
        <v>112620.64177586057</v>
      </c>
      <c r="M42" s="10">
        <v>0</v>
      </c>
      <c r="N42" s="10">
        <f>N41+M42-L42</f>
        <v>-489727.6708496177</v>
      </c>
    </row>
    <row r="43" spans="1:14">
      <c r="A43" t="s">
        <v>236</v>
      </c>
      <c r="B43" s="10">
        <v>35</v>
      </c>
      <c r="C43" s="10">
        <v>113283.1876890301</v>
      </c>
      <c r="D43" s="10">
        <v>67883.27105511226</v>
      </c>
      <c r="E43" s="10">
        <f>C43+D43</f>
        <v>181166.45874414238</v>
      </c>
      <c r="F43" s="10">
        <v>60046.3852044282</v>
      </c>
      <c r="G43" s="10">
        <v>183091.5066666667</v>
      </c>
      <c r="H43" s="10">
        <f>PROF_SERVICES_USD_MONTH</f>
        <v>2800.0</v>
      </c>
      <c r="I43" s="10">
        <f>ACCOUNTING_USD_MONTH</f>
        <v>2950</v>
      </c>
      <c r="J43" s="10">
        <v>30000</v>
      </c>
      <c r="K43" s="10">
        <v>13700</v>
      </c>
      <c r="L43" s="10">
        <f>F43+G43+H43+I43+J43+K43-E43</f>
        <v>111421.4331269525</v>
      </c>
      <c r="M43" s="10">
        <v>0</v>
      </c>
      <c r="N43" s="10">
        <f>N42+M43-L43</f>
        <v>-601149.1039765702</v>
      </c>
    </row>
    <row r="44" spans="1:14">
      <c r="A44" t="s">
        <v>237</v>
      </c>
      <c r="B44" s="10">
        <v>36</v>
      </c>
      <c r="C44" s="10">
        <v>114416.0195659204</v>
      </c>
      <c r="D44" s="10">
        <v>68562.10376566339</v>
      </c>
      <c r="E44" s="10">
        <f>C44+D44</f>
        <v>182978.1233315838</v>
      </c>
      <c r="F44" s="10">
        <v>60646.84905647249</v>
      </c>
      <c r="G44" s="10">
        <v>183091.5066666667</v>
      </c>
      <c r="H44" s="10">
        <f>PROF_SERVICES_USD_MONTH</f>
        <v>2800.0</v>
      </c>
      <c r="I44" s="10">
        <f>ACCOUNTING_USD_MONTH</f>
        <v>2950</v>
      </c>
      <c r="J44" s="10">
        <v>30000</v>
      </c>
      <c r="K44" s="10">
        <v>13700</v>
      </c>
      <c r="L44" s="10">
        <f>F44+G44+H44+I44+J44+K44-E44</f>
        <v>110210.23239155533</v>
      </c>
      <c r="M44" s="10">
        <v>0</v>
      </c>
      <c r="N44" s="10">
        <f>N43+M44-L44</f>
        <v>-711359.3363681255</v>
      </c>
    </row>
    <row r="45" spans="1:14">
      <c r="A45" t="s">
        <v>238</v>
      </c>
      <c r="B45" s="10">
        <v>37</v>
      </c>
      <c r="C45" s="10">
        <v>115560.1797615796</v>
      </c>
      <c r="D45" s="10">
        <v>69247.72480332002</v>
      </c>
      <c r="E45" s="10">
        <f>C45+D45</f>
        <v>184807.90456489963</v>
      </c>
      <c r="F45" s="10">
        <v>61253.31754703721</v>
      </c>
      <c r="G45" s="10">
        <v>183091.5066666667</v>
      </c>
      <c r="H45" s="10">
        <f>PROF_SERVICES_USD_MONTH</f>
        <v>2800.0</v>
      </c>
      <c r="I45" s="10">
        <f>ACCOUNTING_USD_MONTH</f>
        <v>2950</v>
      </c>
      <c r="J45" s="10">
        <v>30000</v>
      </c>
      <c r="K45" s="10">
        <v>13700</v>
      </c>
      <c r="L45" s="10">
        <f>F45+G45+H45+I45+J45+K45-E45</f>
        <v>108986.91964880424</v>
      </c>
      <c r="M45" s="10">
        <v>0</v>
      </c>
      <c r="N45" s="10">
        <f>N44+M45-L45</f>
        <v>-820346.2560169298</v>
      </c>
    </row>
    <row r="46" spans="1:14">
      <c r="A46" t="s">
        <v>239</v>
      </c>
      <c r="B46" s="10">
        <v>38</v>
      </c>
      <c r="C46" s="10">
        <v>116715.7815591954</v>
      </c>
      <c r="D46" s="10">
        <v>69940.20205135322</v>
      </c>
      <c r="E46" s="10">
        <f>C46+D46</f>
        <v>186655.98361054866</v>
      </c>
      <c r="F46" s="10">
        <v>61865.85072250757</v>
      </c>
      <c r="G46" s="10">
        <v>183091.5066666667</v>
      </c>
      <c r="H46" s="10">
        <f>PROF_SERVICES_USD_MONTH</f>
        <v>2800.0</v>
      </c>
      <c r="I46" s="10">
        <f>ACCOUNTING_USD_MONTH</f>
        <v>2950</v>
      </c>
      <c r="J46" s="10">
        <v>30000</v>
      </c>
      <c r="K46" s="10">
        <v>13700</v>
      </c>
      <c r="L46" s="10">
        <f>F46+G46+H46+I46+J46+K46-E46</f>
        <v>107751.37377862562</v>
      </c>
      <c r="M46" s="10">
        <v>0</v>
      </c>
      <c r="N46" s="10">
        <f>N45+M46-L46</f>
        <v>-928097.6297955554</v>
      </c>
    </row>
    <row r="47" spans="1:14">
      <c r="A47" t="s">
        <v>240</v>
      </c>
      <c r="B47" s="10">
        <v>39</v>
      </c>
      <c r="C47" s="10">
        <v>117882.9393747874</v>
      </c>
      <c r="D47" s="10">
        <v>70639.60407186675</v>
      </c>
      <c r="E47" s="10">
        <f>C47+D47</f>
        <v>188522.54344665413</v>
      </c>
      <c r="F47" s="10">
        <v>62484.50922973266</v>
      </c>
      <c r="G47" s="10">
        <v>183091.5066666667</v>
      </c>
      <c r="H47" s="10">
        <f>PROF_SERVICES_USD_MONTH</f>
        <v>2800.0</v>
      </c>
      <c r="I47" s="10">
        <f>ACCOUNTING_USD_MONTH</f>
        <v>2950</v>
      </c>
      <c r="J47" s="10">
        <v>30000</v>
      </c>
      <c r="K47" s="10">
        <v>13700</v>
      </c>
      <c r="L47" s="10">
        <f>F47+G47+H47+I47+J47+K47-E47</f>
        <v>106503.4724497452</v>
      </c>
      <c r="M47" s="10">
        <v>0</v>
      </c>
      <c r="N47" s="10">
        <f>N46+M47-L47</f>
        <v>-1034601.1022453005</v>
      </c>
    </row>
    <row r="48" spans="1:14">
      <c r="A48" t="s">
        <v>241</v>
      </c>
      <c r="B48" s="10">
        <v>40</v>
      </c>
      <c r="C48" s="10">
        <v>119061.7687685353</v>
      </c>
      <c r="D48" s="10">
        <v>71346.00011258542</v>
      </c>
      <c r="E48" s="10">
        <f>C48+D48</f>
        <v>190407.76888112066</v>
      </c>
      <c r="F48" s="10">
        <v>63109.35432202998</v>
      </c>
      <c r="G48" s="10">
        <v>183091.5066666667</v>
      </c>
      <c r="H48" s="10">
        <f>PROF_SERVICES_USD_MONTH</f>
        <v>2800.0</v>
      </c>
      <c r="I48" s="10">
        <f>ACCOUNTING_USD_MONTH</f>
        <v>2950</v>
      </c>
      <c r="J48" s="10">
        <v>30000</v>
      </c>
      <c r="K48" s="10">
        <v>13700</v>
      </c>
      <c r="L48" s="10">
        <f>F48+G48+H48+I48+J48+K48-E48</f>
        <v>105243.09210757603</v>
      </c>
      <c r="M48" s="10">
        <v>0</v>
      </c>
      <c r="N48" s="10">
        <f>N47+M48-L48</f>
        <v>-1139844.1943528766</v>
      </c>
    </row>
    <row r="49" spans="1:14">
      <c r="A49" t="s">
        <v>242</v>
      </c>
      <c r="B49" s="10">
        <v>41</v>
      </c>
      <c r="C49" s="10">
        <v>120252.3864562206</v>
      </c>
      <c r="D49" s="10">
        <v>72059.46011371128</v>
      </c>
      <c r="E49" s="10">
        <f>C49+D49</f>
        <v>192311.8465699319</v>
      </c>
      <c r="F49" s="10">
        <v>63740.44786525028</v>
      </c>
      <c r="G49" s="10">
        <v>183091.5066666667</v>
      </c>
      <c r="H49" s="10">
        <f>PROF_SERVICES_USD_MONTH</f>
        <v>2800.0</v>
      </c>
      <c r="I49" s="10">
        <f>ACCOUNTING_USD_MONTH</f>
        <v>2950</v>
      </c>
      <c r="J49" s="10">
        <v>30000</v>
      </c>
      <c r="K49" s="10">
        <v>13700</v>
      </c>
      <c r="L49" s="10">
        <f>F49+G49+H49+I49+J49+K49-E49</f>
        <v>103970.10796198511</v>
      </c>
      <c r="M49" s="10">
        <v>0</v>
      </c>
      <c r="N49" s="10">
        <f>N48+M49-L49</f>
        <v>-1243814.3023148617</v>
      </c>
    </row>
    <row r="50" spans="1:14">
      <c r="A50" t="s">
        <v>243</v>
      </c>
      <c r="B50" s="10">
        <v>42</v>
      </c>
      <c r="C50" s="10">
        <v>121454.9103207828</v>
      </c>
      <c r="D50" s="10">
        <v>72780.05471484839</v>
      </c>
      <c r="E50" s="10">
        <f>C50+D50</f>
        <v>194234.9650356312</v>
      </c>
      <c r="F50" s="10">
        <v>64377.85234390279</v>
      </c>
      <c r="G50" s="10">
        <v>183091.5066666667</v>
      </c>
      <c r="H50" s="10">
        <f>PROF_SERVICES_USD_MONTH</f>
        <v>2800.0</v>
      </c>
      <c r="I50" s="10">
        <f>ACCOUNTING_USD_MONTH</f>
        <v>2950</v>
      </c>
      <c r="J50" s="10">
        <v>30000</v>
      </c>
      <c r="K50" s="10">
        <v>13700</v>
      </c>
      <c r="L50" s="10">
        <f>F50+G50+H50+I50+J50+K50-E50</f>
        <v>102684.39397493826</v>
      </c>
      <c r="M50" s="10">
        <v>0</v>
      </c>
      <c r="N50" s="10">
        <f>N49+M50-L50</f>
        <v>-1346498.6962897999</v>
      </c>
    </row>
    <row r="51" spans="1:14">
      <c r="A51" t="s">
        <v>244</v>
      </c>
      <c r="B51" s="10">
        <v>43</v>
      </c>
      <c r="C51" s="10">
        <v>122669.4594239906</v>
      </c>
      <c r="D51" s="10">
        <v>73507.85526199687</v>
      </c>
      <c r="E51" s="10">
        <f>C51+D51</f>
        <v>196177.3146859875</v>
      </c>
      <c r="F51" s="10">
        <v>65021.63086734181</v>
      </c>
      <c r="G51" s="10">
        <v>183091.5066666667</v>
      </c>
      <c r="H51" s="10">
        <f>PROF_SERVICES_USD_MONTH</f>
        <v>2800.0</v>
      </c>
      <c r="I51" s="10">
        <f>ACCOUNTING_USD_MONTH</f>
        <v>2950</v>
      </c>
      <c r="J51" s="10">
        <v>30000</v>
      </c>
      <c r="K51" s="10">
        <v>13700</v>
      </c>
      <c r="L51" s="10">
        <f>F51+G51+H51+I51+J51+K51-E51</f>
        <v>101385.82284802097</v>
      </c>
      <c r="M51" s="10">
        <v>0</v>
      </c>
      <c r="N51" s="10">
        <f>N50+M51-L51</f>
        <v>-1447884.519137821</v>
      </c>
    </row>
    <row r="52" spans="1:14">
      <c r="A52" t="s">
        <v>245</v>
      </c>
      <c r="B52" s="10">
        <v>44</v>
      </c>
      <c r="C52" s="10">
        <v>123896.1540182305</v>
      </c>
      <c r="D52" s="10">
        <v>74242.93381461684</v>
      </c>
      <c r="E52" s="10">
        <f>C52+D52</f>
        <v>198139.08783284738</v>
      </c>
      <c r="F52" s="10">
        <v>65671.84717601523</v>
      </c>
      <c r="G52" s="10">
        <v>183091.5066666667</v>
      </c>
      <c r="H52" s="10">
        <f>PROF_SERVICES_USD_MONTH</f>
        <v>2800.0</v>
      </c>
      <c r="I52" s="10">
        <f>ACCOUNTING_USD_MONTH</f>
        <v>2950</v>
      </c>
      <c r="J52" s="10">
        <v>30000</v>
      </c>
      <c r="K52" s="10">
        <v>13700</v>
      </c>
      <c r="L52" s="10">
        <f>F52+G52+H52+I52+J52+K52-E52</f>
        <v>100074.26600983454</v>
      </c>
      <c r="M52" s="10">
        <v>0</v>
      </c>
      <c r="N52" s="10">
        <f>N51+M52-L52</f>
        <v>-1547958.7851476555</v>
      </c>
    </row>
    <row r="53" spans="1:14">
      <c r="A53" t="s">
        <v>246</v>
      </c>
      <c r="B53" s="10">
        <v>45</v>
      </c>
      <c r="C53" s="10">
        <v>125135.1155584129</v>
      </c>
      <c r="D53" s="10">
        <v>74985.36315276302</v>
      </c>
      <c r="E53" s="10">
        <f>C53+D53</f>
        <v>200120.47871117588</v>
      </c>
      <c r="F53" s="10">
        <v>66328.56564777539</v>
      </c>
      <c r="G53" s="10">
        <v>183091.5066666667</v>
      </c>
      <c r="H53" s="10">
        <f>PROF_SERVICES_USD_MONTH</f>
        <v>2800.0</v>
      </c>
      <c r="I53" s="10">
        <f>ACCOUNTING_USD_MONTH</f>
        <v>2950</v>
      </c>
      <c r="J53" s="10">
        <v>30000</v>
      </c>
      <c r="K53" s="10">
        <v>13700</v>
      </c>
      <c r="L53" s="10">
        <f>F53+G53+H53+I53+J53+K53-E53</f>
        <v>98749.5936032662</v>
      </c>
      <c r="M53" s="10">
        <v>0</v>
      </c>
      <c r="N53" s="10">
        <f>N52+M53-L53</f>
        <v>-1646708.3787509217</v>
      </c>
    </row>
    <row r="54" spans="1:14">
      <c r="A54" t="s">
        <v>247</v>
      </c>
      <c r="B54" s="10">
        <v>46</v>
      </c>
      <c r="C54" s="10">
        <v>126386.466713997</v>
      </c>
      <c r="D54" s="10">
        <v>75735.21678429065</v>
      </c>
      <c r="E54" s="10">
        <f>C54+D54</f>
        <v>202121.68349828763</v>
      </c>
      <c r="F54" s="10">
        <v>66991.85130425316</v>
      </c>
      <c r="G54" s="10">
        <v>183091.5066666667</v>
      </c>
      <c r="H54" s="10">
        <f>PROF_SERVICES_USD_MONTH</f>
        <v>2800.0</v>
      </c>
      <c r="I54" s="10">
        <f>ACCOUNTING_USD_MONTH</f>
        <v>2950</v>
      </c>
      <c r="J54" s="10">
        <v>30000</v>
      </c>
      <c r="K54" s="10">
        <v>13700</v>
      </c>
      <c r="L54" s="10">
        <f>F54+G54+H54+I54+J54+K54-E54</f>
        <v>97411.67447263218</v>
      </c>
      <c r="M54" s="10">
        <v>0</v>
      </c>
      <c r="N54" s="10">
        <f>N53+M54-L54</f>
        <v>-1744120.0532235538</v>
      </c>
    </row>
    <row r="55" spans="1:14">
      <c r="A55" t="s">
        <v>248</v>
      </c>
      <c r="B55" s="10">
        <v>47</v>
      </c>
      <c r="C55" s="10">
        <v>127650.331381137</v>
      </c>
      <c r="D55" s="10">
        <v>76492.56895213356</v>
      </c>
      <c r="E55" s="10">
        <f>C55+D55</f>
        <v>204142.90033327052</v>
      </c>
      <c r="F55" s="10">
        <v>67661.76981729569</v>
      </c>
      <c r="G55" s="10">
        <v>183091.5066666667</v>
      </c>
      <c r="H55" s="10">
        <f>PROF_SERVICES_USD_MONTH</f>
        <v>2800.0</v>
      </c>
      <c r="I55" s="10">
        <f>ACCOUNTING_USD_MONTH</f>
        <v>2950</v>
      </c>
      <c r="J55" s="10">
        <v>30000</v>
      </c>
      <c r="K55" s="10">
        <v>13700</v>
      </c>
      <c r="L55" s="10">
        <f>F55+G55+H55+I55+J55+K55-E55</f>
        <v>96060.37615069185</v>
      </c>
      <c r="M55" s="10">
        <v>0</v>
      </c>
      <c r="N55" s="10">
        <f>N54+M55-L55</f>
        <v>-1840180.4293742457</v>
      </c>
    </row>
    <row r="56" spans="1:14">
      <c r="A56" t="s">
        <v>249</v>
      </c>
      <c r="B56" s="10">
        <v>48</v>
      </c>
      <c r="C56" s="10">
        <v>128926.8346949483</v>
      </c>
      <c r="D56" s="10">
        <v>77257.49464165489</v>
      </c>
      <c r="E56" s="10">
        <f>C56+D56</f>
        <v>206184.32933660323</v>
      </c>
      <c r="F56" s="10">
        <v>68338.38751546864</v>
      </c>
      <c r="G56" s="10">
        <v>183091.5066666667</v>
      </c>
      <c r="H56" s="10">
        <f>PROF_SERVICES_USD_MONTH</f>
        <v>2800.0</v>
      </c>
      <c r="I56" s="10">
        <f>ACCOUNTING_USD_MONTH</f>
        <v>2950</v>
      </c>
      <c r="J56" s="10">
        <v>30000</v>
      </c>
      <c r="K56" s="10">
        <v>13700</v>
      </c>
      <c r="L56" s="10">
        <f>F56+G56+H56+I56+J56+K56-E56</f>
        <v>94695.56484553212</v>
      </c>
      <c r="M56" s="10">
        <v>0</v>
      </c>
      <c r="N56" s="10">
        <f>N55+M56-L56</f>
        <v>-1934875.9942197779</v>
      </c>
    </row>
    <row r="58" spans="1:14">
      <c r="A58" s="3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cols>
    <col min="1" max="1" width="62.7109375" customWidth="1"/>
    <col min="2" max="2" width="18.7109375" customWidth="1"/>
    <col min="3" max="3" width="90.7109375" customWidth="1"/>
  </cols>
  <sheetData>
    <row r="1" spans="1:3">
      <c r="A1" s="1" t="s">
        <v>250</v>
      </c>
    </row>
    <row r="2" spans="1:3">
      <c r="A2" s="3" t="s">
        <v>251</v>
      </c>
    </row>
    <row r="4" spans="1:3">
      <c r="A4" s="4" t="s">
        <v>55</v>
      </c>
      <c r="B4" s="4" t="s">
        <v>252</v>
      </c>
      <c r="C4" s="4" t="s">
        <v>19</v>
      </c>
    </row>
    <row r="5" spans="1:3">
      <c r="A5" t="s">
        <v>253</v>
      </c>
      <c r="B5" s="10">
        <f>RAISED_SAFE_2025_01</f>
        <v>500000</v>
      </c>
      <c r="C5" s="3" t="s">
        <v>48</v>
      </c>
    </row>
    <row r="6" spans="1:3">
      <c r="A6" t="s">
        <v>254</v>
      </c>
      <c r="B6" s="10">
        <f>RAISED_SAFE_2025_07</f>
        <v>1200000</v>
      </c>
      <c r="C6" s="3" t="s">
        <v>50</v>
      </c>
    </row>
    <row r="7" spans="1:3">
      <c r="A7" s="2" t="s">
        <v>255</v>
      </c>
      <c r="B7" s="11">
        <f>B5+B6</f>
        <v>1700000</v>
      </c>
    </row>
    <row r="8" spans="1:3">
      <c r="A8" t="s">
        <v>256</v>
      </c>
      <c r="B8" s="10">
        <f>NET_LOSS_BEFORE_2025_05</f>
        <v>134609</v>
      </c>
      <c r="C8" s="3" t="s">
        <v>257</v>
      </c>
    </row>
    <row r="9" spans="1:3">
      <c r="A9" t="s">
        <v>258</v>
      </c>
      <c r="B9" s="10">
        <f>-SUM('P&amp;L'!C27:S27)</f>
        <v>932712.79</v>
      </c>
      <c r="C9" s="3" t="s">
        <v>259</v>
      </c>
    </row>
    <row r="10" spans="1:3">
      <c r="A10" t="s">
        <v>260</v>
      </c>
      <c r="B10" s="10">
        <v>8640</v>
      </c>
      <c r="C10" s="3" t="s">
        <v>261</v>
      </c>
    </row>
    <row r="11" spans="1:3">
      <c r="A11" s="2" t="s">
        <v>262</v>
      </c>
      <c r="B11" s="11">
        <f>B7-B8-B9+B10</f>
        <v>641318.21</v>
      </c>
    </row>
    <row r="12" spans="1:3">
      <c r="A12" t="s">
        <v>263</v>
      </c>
      <c r="B12" s="10">
        <f>CASH_START</f>
        <v>641318</v>
      </c>
      <c r="C12" s="3" t="s">
        <v>264</v>
      </c>
    </row>
    <row r="13" spans="1:3">
      <c r="A13" t="s">
        <v>265</v>
      </c>
      <c r="B13" s="13">
        <f>B11-B12</f>
        <v>0.21</v>
      </c>
      <c r="C13" s="3" t="s">
        <v>266</v>
      </c>
    </row>
    <row r="16" spans="1:3">
      <c r="A1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27</vt:i4>
      </vt:variant>
    </vt:vector>
  </HeadingPairs>
  <TitlesOfParts>
    <vt:vector size="34" baseType="lpstr">
      <vt:lpstr>README</vt:lpstr>
      <vt:lpstr>Assumptions</vt:lpstr>
      <vt:lpstr>P&amp;L</vt:lpstr>
      <vt:lpstr>Revenue_Build</vt:lpstr>
      <vt:lpstr>Team</vt:lpstr>
      <vt:lpstr>Cash_Runway</vt:lpstr>
      <vt:lpstr>Cash_Bridge</vt:lpstr>
      <vt:lpstr>ACCOUNTING_USD_MONTH</vt:lpstr>
      <vt:lpstr>AS_OF_DATE</vt:lpstr>
      <vt:lpstr>AVG_NET_BURN_12M</vt:lpstr>
      <vt:lpstr>CASH_BRIDGE_DIFF</vt:lpstr>
      <vt:lpstr>CASH_START</vt:lpstr>
      <vt:lpstr>CONTRACTED_FEES_2026_09</vt:lpstr>
      <vt:lpstr>DEFERRED_REVENUE_USD</vt:lpstr>
      <vt:lpstr>EMPLOYEES_AFTER_HIRES</vt:lpstr>
      <vt:lpstr>EMPLOYEES_NOW</vt:lpstr>
      <vt:lpstr>GROWTH_LATER</vt:lpstr>
      <vt:lpstr>GROWTH_Y1</vt:lpstr>
      <vt:lpstr>GROWTH_Y2</vt:lpstr>
      <vt:lpstr>LOAD_FACTOR</vt:lpstr>
      <vt:lpstr>MRR_2026_09</vt:lpstr>
      <vt:lpstr>NET_LOSS_BEFORE_2025_05</vt:lpstr>
      <vt:lpstr>OTHER_USD_MONTH</vt:lpstr>
      <vt:lpstr>PAYING_BROKERS</vt:lpstr>
      <vt:lpstr>PROF_SERVICES_USD_MONTH</vt:lpstr>
      <vt:lpstr>PROGRAMS_USD_MONTH</vt:lpstr>
      <vt:lpstr>RAISED_SAFE_2025_01</vt:lpstr>
      <vt:lpstr>RAISED_SAFE_2025_07</vt:lpstr>
      <vt:lpstr>RECOVERY_FEE_SHARE</vt:lpstr>
      <vt:lpstr>RUNWAY_MONTHS</vt:lpstr>
      <vt:lpstr>SEED_PLAN_MONTH</vt:lpstr>
      <vt:lpstr>SEED_PRE_MONEY</vt:lpstr>
      <vt:lpstr>SEED_RAISE</vt:lpstr>
      <vt:lpstr>SUB_REVENUE_2026_09</vt:lpstr>
    </vt:vector>
  </TitlesOfParts>
  <Company>Brasswick (synthetic)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financial_model</dc:title>
  <dc:creator>Brasswick (synthetic)</dc:creator>
  <dc:description>Synthetic data room for Deal Flow NYC 2026. Not a real company.</dc:description>
  <cp:lastModifiedBy>Brasswick (synthetic)</cp:lastModifiedBy>
  <dcterms:created xsi:type="dcterms:W3CDTF">2026-10-02T09:00:00Z</dcterms:created>
  <dcterms:modified xsi:type="dcterms:W3CDTF">2026-10-02T09:00:00Z</dcterms:modified>
</cp:coreProperties>
</file>