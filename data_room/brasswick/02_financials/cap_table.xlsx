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_Table" sheetId="1" r:id="rId1"/>
  </sheets>
  <calcPr calcId="124519" fullCalcOnLoad="1"/>
</workbook>
</file>

<file path=xl/sharedStrings.xml><?xml version="1.0" encoding="utf-8"?>
<sst xmlns="http://schemas.openxmlformats.org/spreadsheetml/2006/main" count="44" uniqueCount="40">
  <si>
    <t>Brasswick, Inc.: fully diluted cap table</t>
  </si>
  <si>
    <t>As of 2026-09-30. SAFEs shown as converted at their cap. Pro forma shows the seed round.</t>
  </si>
  <si>
    <t>Holder</t>
  </si>
  <si>
    <t>Class</t>
  </si>
  <si>
    <t>Shares</t>
  </si>
  <si>
    <t>% fully diluted</t>
  </si>
  <si>
    <t>Pro forma shares</t>
  </si>
  <si>
    <t>Pro forma %</t>
  </si>
  <si>
    <t>Celia Brandvold (CEO)</t>
  </si>
  <si>
    <t>Common</t>
  </si>
  <si>
    <t>Marcus Ashdown (CTO)</t>
  </si>
  <si>
    <t>Options granted (5 holders)</t>
  </si>
  <si>
    <t>Option pool, granted</t>
  </si>
  <si>
    <t>Options available</t>
  </si>
  <si>
    <t>Option pool, unissued</t>
  </si>
  <si>
    <t>Theodora Vance (angel) (SAFE converted)</t>
  </si>
  <si>
    <t>Preferred (from SAFE)</t>
  </si>
  <si>
    <t>Wickham Row Angels LLC (SAFE converted)</t>
  </si>
  <si>
    <t>Halyard Pre-Seed Fund I, LP (SAFE converted)</t>
  </si>
  <si>
    <t>Seed investors (new)</t>
  </si>
  <si>
    <t>Seed Preferred</t>
  </si>
  <si>
    <t>Total</t>
  </si>
  <si>
    <t>SAFE conversion</t>
  </si>
  <si>
    <t>Investor</t>
  </si>
  <si>
    <t>Purchase amount (USD)</t>
  </si>
  <si>
    <t>Post-money cap (USD)</t>
  </si>
  <si>
    <t>Ownership</t>
  </si>
  <si>
    <t>Conversion price (USD)</t>
  </si>
  <si>
    <t>Theodora Vance (angel)</t>
  </si>
  <si>
    <t>Wickham Row Angels LLC</t>
  </si>
  <si>
    <t>Halyard Pre-Seed Fund I, LP</t>
  </si>
  <si>
    <t>Total SAFEs</t>
  </si>
  <si>
    <t>Seed round</t>
  </si>
  <si>
    <t>Pre-money valuation (USD)</t>
  </si>
  <si>
    <t>New money (USD)</t>
  </si>
  <si>
    <t>Post-money valuation (USD)</t>
  </si>
  <si>
    <t>Price per share (USD)</t>
  </si>
  <si>
    <t>New shares issued</t>
  </si>
  <si>
    <t>Seed ownership</t>
  </si>
  <si>
    <t>Synthetic data room for Deal Flow NYC 2026. Not a real company.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</si>
</sst>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0%"/>
    <numFmt numFmtId="166" formatCode="0.0%"/>
    <numFmt numFmtId="167" formatCode="0.0000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262E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164" fontId="4" fillId="0" borderId="1" xfId="0" applyNumberFormat="1" applyFont="1" applyBorder="1"/>
    <xf numFmtId="166" fontId="4" fillId="0" borderId="0" xfId="0" applyNumberFormat="1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1" width="42.7109375" customWidth="1"/>
    <col min="2" max="2" width="30.7109375" customWidth="1"/>
    <col min="3" max="6" width="20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>
      <c r="A5" t="s">
        <v>8</v>
      </c>
      <c r="B5" t="s">
        <v>9</v>
      </c>
      <c r="C5" s="4">
        <v>4186500</v>
      </c>
      <c r="D5" s="5">
        <f>C5/C$13</f>
        <v>0.3579141823270329</v>
      </c>
      <c r="E5" s="4">
        <f>C5</f>
        <v>4186500</v>
      </c>
      <c r="F5" s="5">
        <f>E5/E$13</f>
        <v>0.3014014139840753</v>
      </c>
    </row>
    <row r="6" spans="1:6">
      <c r="A6" t="s">
        <v>10</v>
      </c>
      <c r="B6" t="s">
        <v>9</v>
      </c>
      <c r="C6" s="4">
        <v>3962000</v>
      </c>
      <c r="D6" s="5">
        <f>C6/C$13</f>
        <v>0.3387211251354842</v>
      </c>
      <c r="E6" s="4">
        <f>C6</f>
        <v>3962000</v>
      </c>
      <c r="F6" s="5">
        <f>E6/E$13</f>
        <v>0.28523883965243196</v>
      </c>
    </row>
    <row r="7" spans="1:6">
      <c r="A7" t="s">
        <v>11</v>
      </c>
      <c r="B7" t="s">
        <v>12</v>
      </c>
      <c r="C7" s="4">
        <v>612400</v>
      </c>
      <c r="D7" s="5">
        <f>C7/C$13</f>
        <v>0.05235558228999761</v>
      </c>
      <c r="E7" s="4">
        <f>C7</f>
        <v>612400</v>
      </c>
      <c r="F7" s="5">
        <f>E7/E$13</f>
        <v>0.044088911005338044</v>
      </c>
    </row>
    <row r="8" spans="1:6">
      <c r="A8" t="s">
        <v>13</v>
      </c>
      <c r="B8" t="s">
        <v>14</v>
      </c>
      <c r="C8" s="4">
        <v>791600</v>
      </c>
      <c r="D8" s="5">
        <f>C8/C$13</f>
        <v>0.0676758310593764</v>
      </c>
      <c r="E8" s="4">
        <f>C8</f>
        <v>791600</v>
      </c>
      <c r="F8" s="5">
        <f>E8/E$13</f>
        <v>0.05699017301081906</v>
      </c>
    </row>
    <row r="9" spans="1:6">
      <c r="A9" t="s">
        <v>15</v>
      </c>
      <c r="B9" t="s">
        <v>16</v>
      </c>
      <c r="C9" s="4">
        <v>292423</v>
      </c>
      <c r="D9" s="5">
        <f>C9/C$13</f>
        <v>0.024999961528393157</v>
      </c>
      <c r="E9" s="4">
        <f>C9</f>
        <v>292423</v>
      </c>
      <c r="F9" s="5">
        <f>E9/E$13</f>
        <v>0.021052598992348084</v>
      </c>
    </row>
    <row r="10" spans="1:6">
      <c r="A10" t="s">
        <v>17</v>
      </c>
      <c r="B10" t="s">
        <v>16</v>
      </c>
      <c r="C10" s="4">
        <v>682321</v>
      </c>
      <c r="D10" s="5">
        <f>C10/C$13</f>
        <v>0.0583333005612238</v>
      </c>
      <c r="E10" s="4">
        <f>C10</f>
        <v>682321</v>
      </c>
      <c r="F10" s="5">
        <f>E10/E$13</f>
        <v>0.04912277897791192</v>
      </c>
    </row>
    <row r="11" spans="1:6">
      <c r="A11" t="s">
        <v>18</v>
      </c>
      <c r="B11" t="s">
        <v>16</v>
      </c>
      <c r="C11" s="4">
        <v>1169694</v>
      </c>
      <c r="D11" s="5">
        <f>C11/C$13</f>
        <v>0.10000001709849193</v>
      </c>
      <c r="E11" s="4">
        <f>C11</f>
        <v>1169694</v>
      </c>
      <c r="F11" s="5">
        <f>E11/E$13</f>
        <v>0.0842105399566915</v>
      </c>
    </row>
    <row r="12" spans="1:6">
      <c r="A12" t="s">
        <v>19</v>
      </c>
      <c r="B12" t="s">
        <v>20</v>
      </c>
      <c r="C12" s="4">
        <v>0</v>
      </c>
      <c r="D12" s="5">
        <f>C12/C$13</f>
        <v>0</v>
      </c>
      <c r="E12" s="4">
        <f>B27</f>
        <v>2193176</v>
      </c>
      <c r="F12" s="5">
        <f>E12/E$13</f>
        <v>0.15789474442038418</v>
      </c>
    </row>
    <row r="13" spans="1:6">
      <c r="A13" s="6" t="s">
        <v>21</v>
      </c>
      <c r="C13" s="7">
        <f>SUM(C5:C12)</f>
        <v>11696938</v>
      </c>
      <c r="D13" s="8">
        <f>SUM(D5:D12)</f>
        <v>1.0</v>
      </c>
      <c r="E13" s="7">
        <f>SUM(E5:E12)</f>
        <v>13890114</v>
      </c>
      <c r="F13" s="8">
        <f>SUM(F5:F12)</f>
        <v>1.0</v>
      </c>
    </row>
    <row r="15" spans="1:6">
      <c r="A15" s="6" t="s">
        <v>22</v>
      </c>
    </row>
    <row r="16" spans="1:6">
      <c r="A16" s="3" t="s">
        <v>23</v>
      </c>
      <c r="B16" s="3" t="s">
        <v>24</v>
      </c>
      <c r="C16" s="3" t="s">
        <v>25</v>
      </c>
      <c r="D16" s="3" t="s">
        <v>26</v>
      </c>
      <c r="E16" s="3" t="s">
        <v>27</v>
      </c>
      <c r="F16" s="3" t="s">
        <v>4</v>
      </c>
    </row>
    <row r="17" spans="1:6">
      <c r="A17" t="s">
        <v>28</v>
      </c>
      <c r="B17" s="4">
        <v>150000</v>
      </c>
      <c r="C17" s="4">
        <v>6000000</v>
      </c>
      <c r="D17" s="5">
        <f>B17/C17</f>
        <v>0.025</v>
      </c>
      <c r="E17" s="9">
        <f>C17/C$13</f>
        <v>0.5129547579033077</v>
      </c>
      <c r="F17" s="4">
        <f>ROUND(B17/E17,0)</f>
        <v>292423</v>
      </c>
    </row>
    <row r="18" spans="1:6">
      <c r="A18" t="s">
        <v>29</v>
      </c>
      <c r="B18" s="4">
        <v>350000</v>
      </c>
      <c r="C18" s="4">
        <v>6000000</v>
      </c>
      <c r="D18" s="5">
        <f>B18/C18</f>
        <v>0.058333333333333334</v>
      </c>
      <c r="E18" s="9">
        <f>C18/C$13</f>
        <v>0.5129547579033077</v>
      </c>
      <c r="F18" s="4">
        <f>ROUND(B18/E18,0)</f>
        <v>682321</v>
      </c>
    </row>
    <row r="19" spans="1:6">
      <c r="A19" t="s">
        <v>30</v>
      </c>
      <c r="B19" s="4">
        <v>1200000</v>
      </c>
      <c r="C19" s="4">
        <v>12000000</v>
      </c>
      <c r="D19" s="5">
        <f>B19/C19</f>
        <v>0.1</v>
      </c>
      <c r="E19" s="9">
        <f>C19/C$13</f>
        <v>1.0259095158066154</v>
      </c>
      <c r="F19" s="4">
        <f>ROUND(B19/E19,0)</f>
        <v>1169694</v>
      </c>
    </row>
    <row r="20" spans="1:6">
      <c r="A20" s="6" t="s">
        <v>31</v>
      </c>
      <c r="B20" s="7">
        <f>SUM(B17:B19)</f>
        <v>1700000</v>
      </c>
      <c r="F20" s="7">
        <f>SUM(F17:F19)</f>
        <v>2144438</v>
      </c>
    </row>
    <row r="22" spans="1:6">
      <c r="A22" s="6" t="s">
        <v>32</v>
      </c>
    </row>
    <row r="23" spans="1:6">
      <c r="A23" t="s">
        <v>33</v>
      </c>
      <c r="B23" s="4">
        <v>16000000</v>
      </c>
    </row>
    <row r="24" spans="1:6">
      <c r="A24" t="s">
        <v>34</v>
      </c>
      <c r="B24" s="4">
        <v>3000000</v>
      </c>
    </row>
    <row r="25" spans="1:6">
      <c r="A25" t="s">
        <v>35</v>
      </c>
      <c r="B25" s="4">
        <f>B23+B24</f>
        <v>19000000</v>
      </c>
    </row>
    <row r="26" spans="1:6">
      <c r="A26" t="s">
        <v>36</v>
      </c>
      <c r="B26" s="9">
        <f>B23/C13</f>
        <v>1.3678793544088206</v>
      </c>
    </row>
    <row r="27" spans="1:6">
      <c r="A27" t="s">
        <v>37</v>
      </c>
      <c r="B27" s="4">
        <f>ROUND(B24/B26,0)</f>
        <v>2193176</v>
      </c>
    </row>
    <row r="28" spans="1:6">
      <c r="A28" t="s">
        <v>38</v>
      </c>
      <c r="B28" s="5">
        <f>B27/E13</f>
        <v>0.15789474442038418</v>
      </c>
    </row>
    <row r="31" spans="1:6">
      <c r="A31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Cap_Table</vt:lpstr>
    </vt:vector>
  </TitlesOfParts>
  <Company>Brasswick (synthetic)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cap_table</dc:title>
  <dc:creator>Brasswick (synthetic)</dc:creator>
  <dc:description>Synthetic data room for Deal Flow NYC 2026. Not a real company.</dc:description>
  <cp:lastModifiedBy>Brasswick (synthetic)</cp:lastModifiedBy>
  <dcterms:created xsi:type="dcterms:W3CDTF">2026-10-02T09:00:00Z</dcterms:created>
  <dcterms:modified xsi:type="dcterms:W3CDTF">2026-10-02T09:00:00Z</dcterms:modified>
</cp:coreProperties>
</file>