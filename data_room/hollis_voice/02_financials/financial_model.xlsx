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ssumptions" sheetId="2" r:id="rId2"/>
    <sheet name="P&amp;L" sheetId="3" r:id="rId3"/>
    <sheet name="ARR_Build" sheetId="4" r:id="rId4"/>
    <sheet name="Cohorts" sheetId="5" r:id="rId5"/>
    <sheet name="Hiring_Plan" sheetId="6" r:id="rId6"/>
    <sheet name="Cash_Runway" sheetId="7" r:id="rId7"/>
  </sheets>
  <definedNames>
    <definedName name="ARR_TOTAL">ARR_Build!$E$15</definedName>
    <definedName name="AS_OF_DATE">Assumptions!$B$5</definedName>
    <definedName name="AVG_BASE_NOW">Assumptions!$B$10</definedName>
    <definedName name="AVG_NET_BURN_12M">Cash_Runway!$B$4</definedName>
    <definedName name="CASH_START">Assumptions!$B$6</definedName>
    <definedName name="COHORT_CUSTOMERS">Cohorts!$B$14</definedName>
    <definedName name="GM_PCT">'P&amp;L'!$W$17</definedName>
    <definedName name="HIRES_COUNTED">Hiring_Plan!$B$13</definedName>
    <definedName name="HOSTING_USD_MONTH">Assumptions!$B$13</definedName>
    <definedName name="LICENCES_PCT">Assumptions!$B$12</definedName>
    <definedName name="LOAD_FACTOR">Assumptions!$B$8</definedName>
    <definedName name="NRR_12M">Cohorts!$E$14</definedName>
    <definedName name="PAYROLL_NOW_USD_MONTH">Assumptions!$B$19</definedName>
    <definedName name="PROGRAMS_USD_MONTH">Assumptions!$B$15</definedName>
    <definedName name="RENT_ETC_USD_MONTH">Assumptions!$B$14</definedName>
    <definedName name="REV_GROWTH">Assumptions!$B$7</definedName>
    <definedName name="REV_START_USD_MONTH">Assumptions!$B$18</definedName>
    <definedName name="RUNWAY_MONTHS">Cash_Runway!$B$3</definedName>
    <definedName name="SERIES_A_PLAN_MONTH">Assumptions!$B$17</definedName>
    <definedName name="SERIES_A_RAISE">Assumptions!$B$16</definedName>
    <definedName name="STAFF_NOW">Assumptions!$B$9</definedName>
    <definedName name="TELEPHONY_PCT">Assumptions!$B$11</definedName>
  </definedNames>
  <calcPr calcId="124519" fullCalcOnLoad="1"/>
</workbook>
</file>

<file path=xl/sharedStrings.xml><?xml version="1.0" encoding="utf-8"?>
<sst xmlns="http://schemas.openxmlformats.org/spreadsheetml/2006/main" count="361" uniqueCount="233">
  <si>
    <t>Hollis Voice: financial model</t>
  </si>
  <si>
    <t>Data as of 2026-09-30. All figures in US dollars. Actual months 2025-01 to 2026-09. Plan months 2026-10 onward.</t>
  </si>
  <si>
    <t>Tabs</t>
  </si>
  <si>
    <t>Assumptions: the inputs the plan uses.</t>
  </si>
  <si>
    <t>P&amp;L: monthly income statement, 21 months of actuals and 12 months of plan.</t>
  </si>
  <si>
    <t>ARR_Build: how annual recurring revenue (ARR) is built up at the data date.</t>
  </si>
  <si>
    <t>Cohorts: 12-month revenue retention of customer cohorts.</t>
  </si>
  <si>
    <t>Hiring_Plan: the hires the plan pays for.</t>
  </si>
  <si>
    <t>Cash_Runway: monthly cash and the number of months the cash lasts.</t>
  </si>
  <si>
    <t>Definitions</t>
  </si>
  <si>
    <t>ARR: monthly recurring revenue from signed, live agreements, times 12. One-time fees are left out.</t>
  </si>
  <si>
    <t>Gross margin: recurring revenue less cost of revenue, divided by recurring revenue.</t>
  </si>
  <si>
    <t>Net revenue retention: revenue from a group of customers 12 months after they started, divided by what they paid in their first month.</t>
  </si>
  <si>
    <t>Runway: the number of months after 2026-09-30 in which cash stays above zero.</t>
  </si>
  <si>
    <t>Synthetic data room for Deal Flow NYC 2026. Not a real company.</t>
  </si>
  <si>
    <t>Assumptions</t>
  </si>
  <si>
    <t>Cells with a yellow fill are named cells.</t>
  </si>
  <si>
    <t>Input</t>
  </si>
  <si>
    <t>Value</t>
  </si>
  <si>
    <t>Note</t>
  </si>
  <si>
    <t>Data date</t>
  </si>
  <si>
    <t>2026-09-30</t>
  </si>
  <si>
    <t>Last day of the last actual month.</t>
  </si>
  <si>
    <t>Cash at the data date (USD)</t>
  </si>
  <si>
    <t>Bank balance at 2026-09-30.</t>
  </si>
  <si>
    <t>Recurring revenue growth per month</t>
  </si>
  <si>
    <t>A flat planning rate.</t>
  </si>
  <si>
    <t>Loaded cost factor on base pay</t>
  </si>
  <si>
    <t>Base pay times this factor gives payroll cost including taxes and benefits.</t>
  </si>
  <si>
    <t>Staff at the data date</t>
  </si>
  <si>
    <t>All departments.</t>
  </si>
  <si>
    <t>Average base pay today (USD a year)</t>
  </si>
  <si>
    <t>Across the 17 current staff.</t>
  </si>
  <si>
    <t>Telephony as a share of recurring revenue</t>
  </si>
  <si>
    <t>Booked in cost of revenue.</t>
  </si>
  <si>
    <t>Software licences as a share of recurring revenue</t>
  </si>
  <si>
    <t>Cloud hosting and model inference (USD a month)</t>
  </si>
  <si>
    <t>Booked under R&amp;D. Held at the September 2026 level in the plan.</t>
  </si>
  <si>
    <t>Rent, tools, legal and other (USD a month)</t>
  </si>
  <si>
    <t>Booked under G&amp;A. Held flat.</t>
  </si>
  <si>
    <t>Marketing programs after the raise (USD a month)</t>
  </si>
  <si>
    <t>Starts the month the Series A closes.</t>
  </si>
  <si>
    <t>Series A raise (USD)</t>
  </si>
  <si>
    <t>Lands in plan month 4 (2027-01).</t>
  </si>
  <si>
    <t>Plan month the Series A cash arrives</t>
  </si>
  <si>
    <t>Plan month 1 is 2026-10.</t>
  </si>
  <si>
    <t>Recurring revenue in the last actual month (USD)</t>
  </si>
  <si>
    <t>From P&amp;L, 2026-09.</t>
  </si>
  <si>
    <t>Payroll today (USD a month)</t>
  </si>
  <si>
    <t>Staff times average base pay times the loaded factor, divided by 12.</t>
  </si>
  <si>
    <t>Hollis Voice: income statement and 12-month plan (USD)</t>
  </si>
  <si>
    <t>Actual through 2026-09. Plan from 2026-10. Gross margin is on recurring revenue (subscription plus pilot).</t>
  </si>
  <si>
    <t>Line</t>
  </si>
  <si>
    <t>Section</t>
  </si>
  <si>
    <t>2025-01</t>
  </si>
  <si>
    <t>Actual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</si>
  <si>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</si>
  <si>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</si>
  <si>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</si>
  <si>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</si>
  <si>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</si>
  <si>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</si>
  <si>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</si>
  <si>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</si>
  <si>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</si>
  <si>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</si>
  <si>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</si>
  <si>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</si>
  <si>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</si>
  <si>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</si>
  <si>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</si>
  <si>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</si>
  <si>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</si>
  <si>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</si>
  <si>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</si>
  <si>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</si>
  <si>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</si>
  <si>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Plan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</si>
  <si>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</si>
  <si>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</si>
  <si>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</si>
  <si>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</si>
  <si>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</si>
  <si>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</si>
  <si>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</si>
  <si>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</si>
  <si>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</si>
  <si>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</si>
  <si>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</si>
  <si>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Revenue</t>
  </si>
  <si>
    <t>Subscription revenue</t>
  </si>
  <si>
    <t>Pilot revenue</t>
  </si>
  <si>
    <t>Onboarding fees (one-time)</t>
  </si>
  <si>
    <t>Recurring revenue (subscription plus pilot)</t>
  </si>
  <si>
    <t>Total revenue</t>
  </si>
  <si>
    <t>Cost of revenue</t>
  </si>
  <si>
    <t>Telephony</t>
  </si>
  <si>
    <t>COGS</t>
  </si>
  <si>
    <t>Third-party software licences</t>
  </si>
  <si>
    <t>Total cost of revenue</t>
  </si>
  <si>
    <t>Gross profit (recurring revenue less cost of revenue)</t>
  </si>
  <si>
    <t>Gross margin</t>
  </si>
  <si>
    <t>Operating expenses</t>
  </si>
  <si>
    <t>Payroll: engineering and product</t>
  </si>
  <si>
    <t>R&amp;D</t>
  </si>
  <si>
    <t>Cloud hosting and model inference</t>
  </si>
  <si>
    <t>Payroll: sales, marketing and implementation</t>
  </si>
  <si>
    <t>S&amp;M</t>
  </si>
  <si>
    <t>Customer support specialists</t>
  </si>
  <si>
    <t>Marketing programs</t>
  </si>
  <si>
    <t>Payroll: general and administrative</t>
  </si>
  <si>
    <t>G&amp;A</t>
  </si>
  <si>
    <t>Rent, tools, legal and other</t>
  </si>
  <si>
    <t>Total operating expenses</t>
  </si>
  <si>
    <t>Operating result (gross profit plus onboarding fees less operating expenses)</t>
  </si>
  <si>
    <t>Memo</t>
  </si>
  <si>
    <t>Payroll</t>
  </si>
  <si>
    <t>Net burn (negative of operating result)</t>
  </si>
  <si>
    <t>Staff at month end</t>
  </si>
  <si>
    <t>ARR build at 2026-09-30 (USD)</t>
  </si>
  <si>
    <t>ARR is monthly recurring revenue from signed, live agreements times 12. One-time fees are left out.</t>
  </si>
  <si>
    <t>Product type</t>
  </si>
  <si>
    <t>Customers</t>
  </si>
  <si>
    <t>MRR</t>
  </si>
  <si>
    <t>ARR counted</t>
  </si>
  <si>
    <t>Subscriptions signed 2025 Q1</t>
  </si>
  <si>
    <t>Subscription</t>
  </si>
  <si>
    <t>Monthly plans and annual plans paid up front; revenue is spread over the term.</t>
  </si>
  <si>
    <t>Subscriptions signed 2025 Q2</t>
  </si>
  <si>
    <t>Subscriptions signed 2025 Q3</t>
  </si>
  <si>
    <t>Subscriptions signed 2025 Q4</t>
  </si>
  <si>
    <t>Subscriptions signed 2026 Q1</t>
  </si>
  <si>
    <t>Subscriptions signed 2026 Q2</t>
  </si>
  <si>
    <t>Subscriptions signed 2026 Q3</t>
  </si>
  <si>
    <t>Subscription ARR</t>
  </si>
  <si>
    <t>Marlow Veterinary Group (pilot)</t>
  </si>
  <si>
    <t>Pilot</t>
  </si>
  <si>
    <t>Six-month pilot signed 2026-08-01. Counted at $15,000 a month times 12.</t>
  </si>
  <si>
    <t>Onboarding fees (one-time, excluded)</t>
  </si>
  <si>
    <t>Onboarding</t>
  </si>
  <si>
    <t>$500 per new clinic. September 2026: 19 new clinics, $9,500 in fees. One-time, so not counted in ARR.</t>
  </si>
  <si>
    <t>ARR total</t>
  </si>
  <si>
    <t>Monthly history</t>
  </si>
  <si>
    <t>Month</t>
  </si>
  <si>
    <t>Subscription MRR</t>
  </si>
  <si>
    <t>Pilot MRR</t>
  </si>
  <si>
    <t>ARR (total MRR times 12)</t>
  </si>
  <si>
    <t>Cohorts: 12-month revenue retention</t>
  </si>
  <si>
    <t>Cohort = customers still active after onboarding</t>
  </si>
  <si>
    <t>Cohort (first invoice month)</t>
  </si>
  <si>
    <t>Starting MRR</t>
  </si>
  <si>
    <t>MRR after 12 months</t>
  </si>
  <si>
    <t>Net revenue retention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</si>
  <si>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</si>
  <si>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</si>
  <si>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</si>
  <si>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</si>
  <si>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</si>
  <si>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</si>
  <si>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</si>
  <si>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</si>
  <si>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</si>
  <si>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</si>
  <si>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</si>
  <si>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</si>
  <si>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</si>
  <si>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All cohorts</t>
  </si>
  <si>
    <t>Hiring plan used in this model</t>
  </si>
  <si>
    <t>Loaded monthly cost = base pay times the load factor, divided by 12.</t>
  </si>
  <si>
    <t>Role</t>
  </si>
  <si>
    <t>Department</t>
  </si>
  <si>
    <t>Start month</t>
  </si>
  <si>
    <t>Base pay (USD a year)</t>
  </si>
  <si>
    <t>Loaded cost (USD a month)</t>
  </si>
  <si>
    <t>Senior Voice Engineer</t>
  </si>
  <si>
    <t>Engineering</t>
  </si>
  <si>
    <t>Customer Success Manager</t>
  </si>
  <si>
    <t>Customer Success</t>
  </si>
  <si>
    <t>Machine Learning Engineer</t>
  </si>
  <si>
    <t>Account Executive</t>
  </si>
  <si>
    <t>Sales</t>
  </si>
  <si>
    <t>Backend Engineer</t>
  </si>
  <si>
    <t>Implementation Specialist</t>
  </si>
  <si>
    <t>Head of Sales</t>
  </si>
  <si>
    <t>Support Specialist</t>
  </si>
  <si>
    <t>Support</t>
  </si>
  <si>
    <t>Hires in this plan</t>
  </si>
  <si>
    <t>Staff after these hires</t>
  </si>
  <si>
    <t>Cash and runway (USD)</t>
  </si>
  <si>
    <t>Runway (months of cash from the data date)</t>
  </si>
  <si>
    <t>Average net burn, plan months 1 to 12 (USD a month)</t>
  </si>
  <si>
    <t>Plan month</t>
  </si>
  <si>
    <t>Recurring revenue</t>
  </si>
  <si>
    <t>Hosting, rent, tools, legal and other</t>
  </si>
  <si>
    <t>Net burn</t>
  </si>
  <si>
    <t>Equity raised</t>
  </si>
  <si>
    <t>Ending cash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</si>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</sst>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8EEF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4" fillId="2" borderId="0" xfId="0" applyFont="1" applyFill="1" applyAlignment="1">
      <alignment horizontal="center"/>
    </xf>
    <xf numFmtId="0" fontId="2" fillId="4" borderId="0" xfId="0" applyFont="1" applyFill="1"/>
    <xf numFmtId="164" fontId="0" fillId="0" borderId="0" xfId="0" applyNumberFormat="1"/>
    <xf numFmtId="164" fontId="2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t="s">
        <v>1</v>
      </c>
    </row>
    <row r="4" spans="1:1">
      <c r="A4" s="2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2" spans="1:1">
      <c r="A12" s="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8" spans="1:1">
      <c r="A18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46.7109375" customWidth="1"/>
    <col min="2" max="2" width="18.7109375" customWidth="1"/>
    <col min="3" max="3" width="80.7109375" customWidth="1"/>
  </cols>
  <sheetData>
    <row r="1" spans="1:3">
      <c r="A1" s="1" t="s">
        <v>15</v>
      </c>
    </row>
    <row r="2" spans="1:3">
      <c r="A2" s="3" t="s">
        <v>16</v>
      </c>
    </row>
    <row r="4" spans="1:3">
      <c r="A4" s="4" t="s">
        <v>17</v>
      </c>
      <c r="B4" s="4" t="s">
        <v>18</v>
      </c>
      <c r="C4" s="4" t="s">
        <v>19</v>
      </c>
    </row>
    <row r="5" spans="1:3">
      <c r="A5" t="s">
        <v>20</v>
      </c>
      <c r="B5" s="5" t="s">
        <v>21</v>
      </c>
      <c r="C5" s="3" t="s">
        <v>22</v>
      </c>
    </row>
    <row r="6" spans="1:3">
      <c r="A6" t="s">
        <v>23</v>
      </c>
      <c r="B6" s="6">
        <v>1800000</v>
      </c>
      <c r="C6" s="3" t="s">
        <v>24</v>
      </c>
    </row>
    <row r="7" spans="1:3">
      <c r="A7" t="s">
        <v>25</v>
      </c>
      <c r="B7" s="7">
        <v>0.035</v>
      </c>
      <c r="C7" s="3" t="s">
        <v>26</v>
      </c>
    </row>
    <row r="8" spans="1:3">
      <c r="A8" t="s">
        <v>27</v>
      </c>
      <c r="B8" s="6">
        <v>1.28</v>
      </c>
      <c r="C8" s="3" t="s">
        <v>28</v>
      </c>
    </row>
    <row r="9" spans="1:3">
      <c r="A9" t="s">
        <v>29</v>
      </c>
      <c r="B9" s="6">
        <v>17</v>
      </c>
      <c r="C9" s="3" t="s">
        <v>30</v>
      </c>
    </row>
    <row r="10" spans="1:3">
      <c r="A10" t="s">
        <v>31</v>
      </c>
      <c r="B10" s="6">
        <v>140000</v>
      </c>
      <c r="C10" s="3" t="s">
        <v>32</v>
      </c>
    </row>
    <row r="11" spans="1:3">
      <c r="A11" t="s">
        <v>33</v>
      </c>
      <c r="B11" s="7">
        <v>0.15</v>
      </c>
      <c r="C11" s="3" t="s">
        <v>34</v>
      </c>
    </row>
    <row r="12" spans="1:3">
      <c r="A12" t="s">
        <v>35</v>
      </c>
      <c r="B12" s="7">
        <v>0.05</v>
      </c>
      <c r="C12" s="3" t="s">
        <v>34</v>
      </c>
    </row>
    <row r="13" spans="1:3">
      <c r="A13" t="s">
        <v>36</v>
      </c>
      <c r="B13" s="6">
        <v>20541.29</v>
      </c>
      <c r="C13" s="3" t="s">
        <v>37</v>
      </c>
    </row>
    <row r="14" spans="1:3">
      <c r="A14" t="s">
        <v>38</v>
      </c>
      <c r="B14" s="6">
        <v>60000</v>
      </c>
      <c r="C14" s="3" t="s">
        <v>39</v>
      </c>
    </row>
    <row r="15" spans="1:3">
      <c r="A15" t="s">
        <v>40</v>
      </c>
      <c r="B15" s="6">
        <v>140000</v>
      </c>
      <c r="C15" s="3" t="s">
        <v>41</v>
      </c>
    </row>
    <row r="16" spans="1:3">
      <c r="A16" t="s">
        <v>42</v>
      </c>
      <c r="B16" s="6">
        <v>9000000</v>
      </c>
      <c r="C16" s="3" t="s">
        <v>43</v>
      </c>
    </row>
    <row r="17" spans="1:3">
      <c r="A17" t="s">
        <v>44</v>
      </c>
      <c r="B17" s="6">
        <v>4</v>
      </c>
      <c r="C17" s="3" t="s">
        <v>45</v>
      </c>
    </row>
    <row r="18" spans="1:3">
      <c r="A18" t="s">
        <v>46</v>
      </c>
      <c r="B18" s="6">
        <v>186739</v>
      </c>
      <c r="C18" s="3" t="s">
        <v>47</v>
      </c>
    </row>
    <row r="19" spans="1:3">
      <c r="A19" t="s">
        <v>48</v>
      </c>
      <c r="B19" s="6">
        <f>STAFF_NOW*AVG_BASE_NOW*LOAD_FACTOR/12</f>
        <v>253866.66666666666</v>
      </c>
      <c r="C19" s="3" t="s">
        <v>49</v>
      </c>
    </row>
    <row r="21" spans="1:3">
      <c r="A21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44.7109375" customWidth="1"/>
    <col min="2" max="2" width="9.7109375" customWidth="1"/>
    <col min="3" max="36" width="11.7109375" customWidth="1"/>
  </cols>
  <sheetData>
    <row r="1" spans="1:35">
      <c r="A1" s="1" t="s">
        <v>50</v>
      </c>
    </row>
    <row r="2" spans="1:35">
      <c r="A2" s="3" t="s">
        <v>51</v>
      </c>
    </row>
    <row r="4" spans="1:35">
      <c r="A4" s="4" t="s">
        <v>52</v>
      </c>
      <c r="B4" s="4" t="s">
        <v>53</v>
      </c>
      <c r="C4" s="8" t="s">
        <v>54</v>
      </c>
      <c r="D4" s="8" t="s">
        <v>56</v>
      </c>
      <c r="E4" s="8" t="s">
        <v>57</v>
      </c>
      <c r="F4" s="8" t="s">
        <v>58</v>
      </c>
      <c r="G4" s="8" t="s">
        <v>59</v>
      </c>
      <c r="H4" s="8" t="s">
        <v>60</v>
      </c>
      <c r="I4" s="8" t="s">
        <v>61</v>
      </c>
      <c r="J4" s="8" t="s">
        <v>62</v>
      </c>
      <c r="K4" s="8" t="s">
        <v>63</v>
      </c>
      <c r="L4" s="8" t="s">
        <v>64</v>
      </c>
      <c r="M4" s="8" t="s">
        <v>65</v>
      </c>
      <c r="N4" s="8" t="s">
        <v>66</v>
      </c>
      <c r="O4" s="8" t="s">
        <v>67</v>
      </c>
      <c r="P4" s="8" t="s">
        <v>68</v>
      </c>
      <c r="Q4" s="8" t="s">
        <v>69</v>
      </c>
      <c r="R4" s="8" t="s">
        <v>70</v>
      </c>
      <c r="S4" s="8" t="s">
        <v>71</v>
      </c>
      <c r="T4" s="8" t="s">
        <v>72</v>
      </c>
      <c r="U4" s="8" t="s">
        <v>73</v>
      </c>
      <c r="V4" s="8" t="s">
        <v>74</v>
      </c>
      <c r="W4" s="8" t="s">
        <v>75</v>
      </c>
      <c r="X4" s="8" t="s">
        <v>76</v>
      </c>
      <c r="Y4" s="8" t="s">
        <v>78</v>
      </c>
      <c r="Z4" s="8" t="s">
        <v>79</v>
      </c>
      <c r="AA4" s="8" t="s">
        <v>80</v>
      </c>
      <c r="AB4" s="8" t="s">
        <v>81</v>
      </c>
      <c r="AC4" s="8" t="s">
        <v>82</v>
      </c>
      <c r="AD4" s="8" t="s">
        <v>83</v>
      </c>
      <c r="AE4" s="8" t="s">
        <v>84</v>
      </c>
      <c r="AF4" s="8" t="s">
        <v>85</v>
      </c>
      <c r="AG4" s="8" t="s">
        <v>86</v>
      </c>
      <c r="AH4" s="8" t="s">
        <v>87</v>
      </c>
      <c r="AI4" s="8" t="s">
        <v>88</v>
      </c>
    </row>
    <row r="5" spans="1:35">
      <c r="A5" s="4"/>
      <c r="B5" s="4"/>
      <c r="C5" s="8" t="s">
        <v>55</v>
      </c>
      <c r="D5" s="8" t="s">
        <v>55</v>
      </c>
      <c r="E5" s="8" t="s">
        <v>55</v>
      </c>
      <c r="F5" s="8" t="s">
        <v>55</v>
      </c>
      <c r="G5" s="8" t="s">
        <v>55</v>
      </c>
      <c r="H5" s="8" t="s">
        <v>55</v>
      </c>
      <c r="I5" s="8" t="s">
        <v>55</v>
      </c>
      <c r="J5" s="8" t="s">
        <v>55</v>
      </c>
      <c r="K5" s="8" t="s">
        <v>55</v>
      </c>
      <c r="L5" s="8" t="s">
        <v>55</v>
      </c>
      <c r="M5" s="8" t="s">
        <v>55</v>
      </c>
      <c r="N5" s="8" t="s">
        <v>55</v>
      </c>
      <c r="O5" s="8" t="s">
        <v>55</v>
      </c>
      <c r="P5" s="8" t="s">
        <v>55</v>
      </c>
      <c r="Q5" s="8" t="s">
        <v>55</v>
      </c>
      <c r="R5" s="8" t="s">
        <v>55</v>
      </c>
      <c r="S5" s="8" t="s">
        <v>55</v>
      </c>
      <c r="T5" s="8" t="s">
        <v>55</v>
      </c>
      <c r="U5" s="8" t="s">
        <v>55</v>
      </c>
      <c r="V5" s="8" t="s">
        <v>55</v>
      </c>
      <c r="W5" s="8" t="s">
        <v>55</v>
      </c>
      <c r="X5" s="8" t="s">
        <v>77</v>
      </c>
      <c r="Y5" s="8" t="s">
        <v>77</v>
      </c>
      <c r="Z5" s="8" t="s">
        <v>77</v>
      </c>
      <c r="AA5" s="8" t="s">
        <v>77</v>
      </c>
      <c r="AB5" s="8" t="s">
        <v>77</v>
      </c>
      <c r="AC5" s="8" t="s">
        <v>77</v>
      </c>
      <c r="AD5" s="8" t="s">
        <v>77</v>
      </c>
      <c r="AE5" s="8" t="s">
        <v>77</v>
      </c>
      <c r="AF5" s="8" t="s">
        <v>77</v>
      </c>
      <c r="AG5" s="8" t="s">
        <v>77</v>
      </c>
      <c r="AH5" s="8" t="s">
        <v>77</v>
      </c>
      <c r="AI5" s="8" t="s">
        <v>77</v>
      </c>
    </row>
    <row r="6" spans="1:35">
      <c r="A6" s="9" t="s">
        <v>89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35">
      <c r="A7" t="s">
        <v>90</v>
      </c>
      <c r="B7" t="s">
        <v>89</v>
      </c>
      <c r="C7" s="10">
        <v>2645</v>
      </c>
      <c r="D7" s="10">
        <v>6790</v>
      </c>
      <c r="E7" s="10">
        <v>9934</v>
      </c>
      <c r="F7" s="10">
        <v>12279</v>
      </c>
      <c r="G7" s="10">
        <v>16072</v>
      </c>
      <c r="H7" s="10">
        <v>19516</v>
      </c>
      <c r="I7" s="10">
        <v>23110</v>
      </c>
      <c r="J7" s="10">
        <v>28651</v>
      </c>
      <c r="K7" s="10">
        <v>34642</v>
      </c>
      <c r="L7" s="10">
        <v>40682</v>
      </c>
      <c r="M7" s="10">
        <v>65971</v>
      </c>
      <c r="N7" s="10">
        <v>72859</v>
      </c>
      <c r="O7" s="10">
        <v>77249</v>
      </c>
      <c r="P7" s="10">
        <v>85735</v>
      </c>
      <c r="Q7" s="10">
        <v>95975</v>
      </c>
      <c r="R7" s="10">
        <v>122963</v>
      </c>
      <c r="S7" s="10">
        <v>133950</v>
      </c>
      <c r="T7" s="10">
        <v>142837</v>
      </c>
      <c r="U7" s="10">
        <v>150175</v>
      </c>
      <c r="V7" s="10">
        <v>161257</v>
      </c>
      <c r="W7" s="10">
        <v>171739</v>
      </c>
    </row>
    <row r="8" spans="1:35">
      <c r="A8" t="s">
        <v>91</v>
      </c>
      <c r="B8" t="s">
        <v>89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15000</v>
      </c>
      <c r="W8" s="10">
        <v>15000</v>
      </c>
    </row>
    <row r="9" spans="1:35">
      <c r="A9" t="s">
        <v>92</v>
      </c>
      <c r="B9" t="s">
        <v>89</v>
      </c>
      <c r="C9" s="10">
        <v>2500</v>
      </c>
      <c r="D9" s="10">
        <v>3000</v>
      </c>
      <c r="E9" s="10">
        <v>3000</v>
      </c>
      <c r="F9" s="10">
        <v>3500</v>
      </c>
      <c r="G9" s="10">
        <v>3500</v>
      </c>
      <c r="H9" s="10">
        <v>3500</v>
      </c>
      <c r="I9" s="10">
        <v>4500</v>
      </c>
      <c r="J9" s="10">
        <v>5000</v>
      </c>
      <c r="K9" s="10">
        <v>5500</v>
      </c>
      <c r="L9" s="10">
        <v>6500</v>
      </c>
      <c r="M9" s="10">
        <v>7000</v>
      </c>
      <c r="N9" s="10">
        <v>6500</v>
      </c>
      <c r="O9" s="10">
        <v>6000</v>
      </c>
      <c r="P9" s="10">
        <v>7500</v>
      </c>
      <c r="Q9" s="10">
        <v>7000</v>
      </c>
      <c r="R9" s="10">
        <v>7000</v>
      </c>
      <c r="S9" s="10">
        <v>7500</v>
      </c>
      <c r="T9" s="10">
        <v>8000</v>
      </c>
      <c r="U9" s="10">
        <v>9000</v>
      </c>
      <c r="V9" s="10">
        <v>9500</v>
      </c>
      <c r="W9" s="10">
        <v>9500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>
      <c r="A10" t="s">
        <v>93</v>
      </c>
      <c r="B10" t="s">
        <v>89</v>
      </c>
      <c r="C10" s="10">
        <f>C7+C8</f>
        <v>2645</v>
      </c>
      <c r="D10" s="10">
        <f>D7+D8</f>
        <v>6790</v>
      </c>
      <c r="E10" s="10">
        <f>E7+E8</f>
        <v>9934</v>
      </c>
      <c r="F10" s="10">
        <f>F7+F8</f>
        <v>12279</v>
      </c>
      <c r="G10" s="10">
        <f>G7+G8</f>
        <v>16072</v>
      </c>
      <c r="H10" s="10">
        <f>H7+H8</f>
        <v>19516</v>
      </c>
      <c r="I10" s="10">
        <f>I7+I8</f>
        <v>23110</v>
      </c>
      <c r="J10" s="10">
        <f>J7+J8</f>
        <v>28651</v>
      </c>
      <c r="K10" s="10">
        <f>K7+K8</f>
        <v>34642</v>
      </c>
      <c r="L10" s="10">
        <f>L7+L8</f>
        <v>40682</v>
      </c>
      <c r="M10" s="10">
        <f>M7+M8</f>
        <v>65971</v>
      </c>
      <c r="N10" s="10">
        <f>N7+N8</f>
        <v>72859</v>
      </c>
      <c r="O10" s="10">
        <f>O7+O8</f>
        <v>77249</v>
      </c>
      <c r="P10" s="10">
        <f>P7+P8</f>
        <v>85735</v>
      </c>
      <c r="Q10" s="10">
        <f>Q7+Q8</f>
        <v>95975</v>
      </c>
      <c r="R10" s="10">
        <f>R7+R8</f>
        <v>122963</v>
      </c>
      <c r="S10" s="10">
        <f>S7+S8</f>
        <v>133950</v>
      </c>
      <c r="T10" s="10">
        <f>T7+T8</f>
        <v>142837</v>
      </c>
      <c r="U10" s="10">
        <f>U7+U8</f>
        <v>150175</v>
      </c>
      <c r="V10" s="10">
        <f>V7+V8</f>
        <v>176257</v>
      </c>
      <c r="W10" s="10">
        <f>W7+W8</f>
        <v>186739</v>
      </c>
      <c r="X10" s="10">
        <v>193274.865</v>
      </c>
      <c r="Y10" s="10">
        <v>200039.485275</v>
      </c>
      <c r="Z10" s="10">
        <v>207040.867259625</v>
      </c>
      <c r="AA10" s="10">
        <v>214287.2976137118</v>
      </c>
      <c r="AB10" s="10">
        <v>221787.3530301917</v>
      </c>
      <c r="AC10" s="10">
        <v>229549.9103862484</v>
      </c>
      <c r="AD10" s="10">
        <v>237584.1572497671</v>
      </c>
      <c r="AE10" s="10">
        <v>245899.6027535089</v>
      </c>
      <c r="AF10" s="10">
        <v>254506.0888498817</v>
      </c>
      <c r="AG10" s="10">
        <v>263413.8019596275</v>
      </c>
      <c r="AH10" s="10">
        <v>272633.2850282145</v>
      </c>
      <c r="AI10" s="10">
        <v>282175.450004202</v>
      </c>
    </row>
    <row r="11" spans="1:35">
      <c r="A11" t="s">
        <v>94</v>
      </c>
      <c r="B11" t="s">
        <v>89</v>
      </c>
      <c r="C11" s="10">
        <f>C10+C9</f>
        <v>5145</v>
      </c>
      <c r="D11" s="10">
        <f>D10+D9</f>
        <v>9790</v>
      </c>
      <c r="E11" s="10">
        <f>E10+E9</f>
        <v>12934</v>
      </c>
      <c r="F11" s="10">
        <f>F10+F9</f>
        <v>15779</v>
      </c>
      <c r="G11" s="10">
        <f>G10+G9</f>
        <v>19572</v>
      </c>
      <c r="H11" s="10">
        <f>H10+H9</f>
        <v>23016</v>
      </c>
      <c r="I11" s="10">
        <f>I10+I9</f>
        <v>27610</v>
      </c>
      <c r="J11" s="10">
        <f>J10+J9</f>
        <v>33651</v>
      </c>
      <c r="K11" s="10">
        <f>K10+K9</f>
        <v>40142</v>
      </c>
      <c r="L11" s="10">
        <f>L10+L9</f>
        <v>47182</v>
      </c>
      <c r="M11" s="10">
        <f>M10+M9</f>
        <v>72971</v>
      </c>
      <c r="N11" s="10">
        <f>N10+N9</f>
        <v>79359</v>
      </c>
      <c r="O11" s="10">
        <f>O10+O9</f>
        <v>83249</v>
      </c>
      <c r="P11" s="10">
        <f>P10+P9</f>
        <v>93235</v>
      </c>
      <c r="Q11" s="10">
        <f>Q10+Q9</f>
        <v>102975</v>
      </c>
      <c r="R11" s="10">
        <f>R10+R9</f>
        <v>129963</v>
      </c>
      <c r="S11" s="10">
        <f>S10+S9</f>
        <v>141450</v>
      </c>
      <c r="T11" s="10">
        <f>T10+T9</f>
        <v>150837</v>
      </c>
      <c r="U11" s="10">
        <f>U10+U9</f>
        <v>159175</v>
      </c>
      <c r="V11" s="10">
        <f>V10+V9</f>
        <v>185757</v>
      </c>
      <c r="W11" s="10">
        <f>W10+W9</f>
        <v>196239</v>
      </c>
      <c r="X11" s="10">
        <f>X10+X9</f>
        <v>193274.865</v>
      </c>
      <c r="Y11" s="10">
        <f>Y10+Y9</f>
        <v>200039.48527499998</v>
      </c>
      <c r="Z11" s="10">
        <f>Z10+Z9</f>
        <v>207040.86725962497</v>
      </c>
      <c r="AA11" s="10">
        <f>AA10+AA9</f>
        <v>214287.29761371182</v>
      </c>
      <c r="AB11" s="10">
        <f>AB10+AB9</f>
        <v>221787.35303019173</v>
      </c>
      <c r="AC11" s="10">
        <f>AC10+AC9</f>
        <v>229549.91038624843</v>
      </c>
      <c r="AD11" s="10">
        <f>AD10+AD9</f>
        <v>237584.1572497671</v>
      </c>
      <c r="AE11" s="10">
        <f>AE10+AE9</f>
        <v>245899.60275350892</v>
      </c>
      <c r="AF11" s="10">
        <f>AF10+AF9</f>
        <v>254506.08884988172</v>
      </c>
      <c r="AG11" s="10">
        <f>AG10+AG9</f>
        <v>263413.80195962754</v>
      </c>
      <c r="AH11" s="10">
        <f>AH10+AH9</f>
        <v>272633.2850282145</v>
      </c>
      <c r="AI11" s="10">
        <f>AI10+AI9</f>
        <v>282175.450004202</v>
      </c>
    </row>
    <row r="12" spans="1:35">
      <c r="A12" s="9" t="s">
        <v>95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</row>
    <row r="13" spans="1:35">
      <c r="A13" t="s">
        <v>96</v>
      </c>
      <c r="B13" t="s">
        <v>97</v>
      </c>
      <c r="C13" s="10">
        <v>396.75</v>
      </c>
      <c r="D13" s="10">
        <v>1018.5</v>
      </c>
      <c r="E13" s="10">
        <v>1490.1</v>
      </c>
      <c r="F13" s="10">
        <v>1841.85</v>
      </c>
      <c r="G13" s="10">
        <v>2410.8</v>
      </c>
      <c r="H13" s="10">
        <v>2927.4</v>
      </c>
      <c r="I13" s="10">
        <v>3466.5</v>
      </c>
      <c r="J13" s="10">
        <v>4297.65</v>
      </c>
      <c r="K13" s="10">
        <v>5196.3</v>
      </c>
      <c r="L13" s="10">
        <v>6102.3</v>
      </c>
      <c r="M13" s="10">
        <v>9895.65</v>
      </c>
      <c r="N13" s="10">
        <v>10928.85</v>
      </c>
      <c r="O13" s="10">
        <v>11587.35</v>
      </c>
      <c r="P13" s="10">
        <v>12860.25</v>
      </c>
      <c r="Q13" s="10">
        <v>14396.25</v>
      </c>
      <c r="R13" s="10">
        <v>18444.45</v>
      </c>
      <c r="S13" s="10">
        <v>20092.5</v>
      </c>
      <c r="T13" s="10">
        <v>21425.55</v>
      </c>
      <c r="U13" s="10">
        <v>22526.25</v>
      </c>
      <c r="V13" s="10">
        <v>26438.55</v>
      </c>
      <c r="W13" s="10">
        <v>28010.85</v>
      </c>
      <c r="X13" s="10">
        <v>28991.22975</v>
      </c>
      <c r="Y13" s="10">
        <v>30005.92279125</v>
      </c>
      <c r="Z13" s="10">
        <v>31056.13008894374</v>
      </c>
      <c r="AA13" s="10">
        <v>32143.09464205677</v>
      </c>
      <c r="AB13" s="10">
        <v>33268.10295452876</v>
      </c>
      <c r="AC13" s="10">
        <v>34432.48655793726</v>
      </c>
      <c r="AD13" s="10">
        <v>35637.62358746507</v>
      </c>
      <c r="AE13" s="10">
        <v>36884.94041302634</v>
      </c>
      <c r="AF13" s="10">
        <v>38175.91332748226</v>
      </c>
      <c r="AG13" s="10">
        <v>39512.07029394413</v>
      </c>
      <c r="AH13" s="10">
        <v>40894.99275423217</v>
      </c>
      <c r="AI13" s="10">
        <v>42326.3175006303</v>
      </c>
    </row>
    <row r="14" spans="1:35">
      <c r="A14" t="s">
        <v>98</v>
      </c>
      <c r="B14" t="s">
        <v>97</v>
      </c>
      <c r="C14" s="10">
        <v>132.25</v>
      </c>
      <c r="D14" s="10">
        <v>339.5</v>
      </c>
      <c r="E14" s="10">
        <v>496.7</v>
      </c>
      <c r="F14" s="10">
        <v>613.95</v>
      </c>
      <c r="G14" s="10">
        <v>803.6</v>
      </c>
      <c r="H14" s="10">
        <v>975.8</v>
      </c>
      <c r="I14" s="10">
        <v>1155.5</v>
      </c>
      <c r="J14" s="10">
        <v>1432.55</v>
      </c>
      <c r="K14" s="10">
        <v>1732.1</v>
      </c>
      <c r="L14" s="10">
        <v>2034.1</v>
      </c>
      <c r="M14" s="10">
        <v>3298.55</v>
      </c>
      <c r="N14" s="10">
        <v>3642.95</v>
      </c>
      <c r="O14" s="10">
        <v>3862.45</v>
      </c>
      <c r="P14" s="10">
        <v>4286.75</v>
      </c>
      <c r="Q14" s="10">
        <v>4798.75</v>
      </c>
      <c r="R14" s="10">
        <v>6148.15</v>
      </c>
      <c r="S14" s="10">
        <v>6697.5</v>
      </c>
      <c r="T14" s="10">
        <v>7141.85</v>
      </c>
      <c r="U14" s="10">
        <v>7508.75</v>
      </c>
      <c r="V14" s="10">
        <v>8812.85</v>
      </c>
      <c r="W14" s="10">
        <v>9336.950000000001</v>
      </c>
      <c r="X14" s="10">
        <v>9663.74325</v>
      </c>
      <c r="Y14" s="10">
        <v>10001.97426375</v>
      </c>
      <c r="Z14" s="10">
        <v>10352.04336298125</v>
      </c>
      <c r="AA14" s="10">
        <v>10714.36488068559</v>
      </c>
      <c r="AB14" s="10">
        <v>11089.36765150959</v>
      </c>
      <c r="AC14" s="10">
        <v>11477.49551931242</v>
      </c>
      <c r="AD14" s="10">
        <v>11879.20786248836</v>
      </c>
      <c r="AE14" s="10">
        <v>12294.98013767545</v>
      </c>
      <c r="AF14" s="10">
        <v>12725.30444249409</v>
      </c>
      <c r="AG14" s="10">
        <v>13170.69009798138</v>
      </c>
      <c r="AH14" s="10">
        <v>13631.66425141073</v>
      </c>
      <c r="AI14" s="10">
        <v>14108.7725002101</v>
      </c>
    </row>
    <row r="15" spans="1:35">
      <c r="A15" t="s">
        <v>99</v>
      </c>
      <c r="B15" t="s">
        <v>97</v>
      </c>
      <c r="C15" s="10">
        <f>C13+C14</f>
        <v>529.0</v>
      </c>
      <c r="D15" s="10">
        <f>D13+D14</f>
        <v>1358.0</v>
      </c>
      <c r="E15" s="10">
        <f>E13+E14</f>
        <v>1986.8</v>
      </c>
      <c r="F15" s="10">
        <f>F13+F14</f>
        <v>2455.8</v>
      </c>
      <c r="G15" s="10">
        <f>G13+G14</f>
        <v>3214.4</v>
      </c>
      <c r="H15" s="10">
        <f>H13+H14</f>
        <v>3903.2</v>
      </c>
      <c r="I15" s="10">
        <f>I13+I14</f>
        <v>4622.0</v>
      </c>
      <c r="J15" s="10">
        <f>J13+J14</f>
        <v>5730.2</v>
      </c>
      <c r="K15" s="10">
        <f>K13+K14</f>
        <v>6928.4</v>
      </c>
      <c r="L15" s="10">
        <f>L13+L14</f>
        <v>8136.4</v>
      </c>
      <c r="M15" s="10">
        <f>M13+M14</f>
        <v>13194.2</v>
      </c>
      <c r="N15" s="10">
        <f>N13+N14</f>
        <v>14571.8</v>
      </c>
      <c r="O15" s="10">
        <f>O13+O14</f>
        <v>15449.8</v>
      </c>
      <c r="P15" s="10">
        <f>P13+P14</f>
        <v>17147.0</v>
      </c>
      <c r="Q15" s="10">
        <f>Q13+Q14</f>
        <v>19195.0</v>
      </c>
      <c r="R15" s="10">
        <f>R13+R14</f>
        <v>24592.6</v>
      </c>
      <c r="S15" s="10">
        <f>S13+S14</f>
        <v>26790.0</v>
      </c>
      <c r="T15" s="10">
        <f>T13+T14</f>
        <v>28567.4</v>
      </c>
      <c r="U15" s="10">
        <f>U13+U14</f>
        <v>30035.0</v>
      </c>
      <c r="V15" s="10">
        <f>V13+V14</f>
        <v>35251.4</v>
      </c>
      <c r="W15" s="10">
        <f>W13+W14</f>
        <v>37347.8</v>
      </c>
      <c r="X15" s="10">
        <f>X13+X14</f>
        <v>38654.973</v>
      </c>
      <c r="Y15" s="10">
        <f>Y13+Y14</f>
        <v>40007.897054999994</v>
      </c>
      <c r="Z15" s="10">
        <f>Z13+Z14</f>
        <v>41408.173451924995</v>
      </c>
      <c r="AA15" s="10">
        <f>AA13+AA14</f>
        <v>42857.45952274236</v>
      </c>
      <c r="AB15" s="10">
        <f>AB13+AB14</f>
        <v>44357.47060603835</v>
      </c>
      <c r="AC15" s="10">
        <f>AC13+AC14</f>
        <v>45909.98207724969</v>
      </c>
      <c r="AD15" s="10">
        <f>AD13+AD14</f>
        <v>47516.831449953424</v>
      </c>
      <c r="AE15" s="10">
        <f>AE13+AE14</f>
        <v>49179.92055070178</v>
      </c>
      <c r="AF15" s="10">
        <f>AF13+AF14</f>
        <v>50901.21776997635</v>
      </c>
      <c r="AG15" s="10">
        <f>AG13+AG14</f>
        <v>52682.76039192551</v>
      </c>
      <c r="AH15" s="10">
        <f>AH13+AH14</f>
        <v>54526.657005642905</v>
      </c>
      <c r="AI15" s="10">
        <f>AI13+AI14</f>
        <v>56435.0900008404</v>
      </c>
    </row>
    <row r="16" spans="1:35">
      <c r="A16" t="s">
        <v>100</v>
      </c>
      <c r="C16" s="11">
        <f>C10-C15</f>
        <v>2116.0</v>
      </c>
      <c r="D16" s="11">
        <f>D10-D15</f>
        <v>5432.0</v>
      </c>
      <c r="E16" s="11">
        <f>E10-E15</f>
        <v>7947.2</v>
      </c>
      <c r="F16" s="11">
        <f>F10-F15</f>
        <v>9823.2</v>
      </c>
      <c r="G16" s="11">
        <f>G10-G15</f>
        <v>12857.6</v>
      </c>
      <c r="H16" s="11">
        <f>H10-H15</f>
        <v>15612.8</v>
      </c>
      <c r="I16" s="11">
        <f>I10-I15</f>
        <v>18488.0</v>
      </c>
      <c r="J16" s="11">
        <f>J10-J15</f>
        <v>22920.8</v>
      </c>
      <c r="K16" s="11">
        <f>K10-K15</f>
        <v>27713.6</v>
      </c>
      <c r="L16" s="11">
        <f>L10-L15</f>
        <v>32545.6</v>
      </c>
      <c r="M16" s="11">
        <f>M10-M15</f>
        <v>52776.8</v>
      </c>
      <c r="N16" s="11">
        <f>N10-N15</f>
        <v>58287.2</v>
      </c>
      <c r="O16" s="11">
        <f>O10-O15</f>
        <v>61799.2</v>
      </c>
      <c r="P16" s="11">
        <f>P10-P15</f>
        <v>68588.0</v>
      </c>
      <c r="Q16" s="11">
        <f>Q10-Q15</f>
        <v>76780.0</v>
      </c>
      <c r="R16" s="11">
        <f>R10-R15</f>
        <v>98370.4</v>
      </c>
      <c r="S16" s="11">
        <f>S10-S15</f>
        <v>107160.0</v>
      </c>
      <c r="T16" s="11">
        <f>T10-T15</f>
        <v>114269.6</v>
      </c>
      <c r="U16" s="11">
        <f>U10-U15</f>
        <v>120140.0</v>
      </c>
      <c r="V16" s="11">
        <f>V10-V15</f>
        <v>141005.6</v>
      </c>
      <c r="W16" s="11">
        <f>W10-W15</f>
        <v>149391.2</v>
      </c>
      <c r="X16" s="11">
        <f>X10-X15</f>
        <v>154619.892</v>
      </c>
      <c r="Y16" s="11">
        <f>Y10-Y15</f>
        <v>160031.58821999998</v>
      </c>
      <c r="Z16" s="11">
        <f>Z10-Z15</f>
        <v>165632.69380769998</v>
      </c>
      <c r="AA16" s="11">
        <f>AA10-AA15</f>
        <v>171429.83809096945</v>
      </c>
      <c r="AB16" s="11">
        <f>AB10-AB15</f>
        <v>177429.8824241534</v>
      </c>
      <c r="AC16" s="11">
        <f>AC10-AC15</f>
        <v>183639.92830899876</v>
      </c>
      <c r="AD16" s="11">
        <f>AD10-AD15</f>
        <v>190067.32579981367</v>
      </c>
      <c r="AE16" s="11">
        <f>AE10-AE15</f>
        <v>196719.68220280713</v>
      </c>
      <c r="AF16" s="11">
        <f>AF10-AF15</f>
        <v>203604.87107990537</v>
      </c>
      <c r="AG16" s="11">
        <f>AG10-AG15</f>
        <v>210731.04156770202</v>
      </c>
      <c r="AH16" s="11">
        <f>AH10-AH15</f>
        <v>218106.62802257162</v>
      </c>
      <c r="AI16" s="11">
        <f>AI10-AI15</f>
        <v>225740.36000336162</v>
      </c>
    </row>
    <row r="17" spans="1:35">
      <c r="A17" t="s">
        <v>101</v>
      </c>
      <c r="C17" s="12">
        <f>C16/C10</f>
        <v>0.8</v>
      </c>
      <c r="D17" s="12">
        <f>D16/D10</f>
        <v>0.8</v>
      </c>
      <c r="E17" s="12">
        <f>E16/E10</f>
        <v>0.7999999999999999</v>
      </c>
      <c r="F17" s="12">
        <f>F16/F10</f>
        <v>0.8</v>
      </c>
      <c r="G17" s="12">
        <f>G16/G10</f>
        <v>0.8</v>
      </c>
      <c r="H17" s="12">
        <f>H16/H10</f>
        <v>0.7999999999999999</v>
      </c>
      <c r="I17" s="12">
        <f>I16/I10</f>
        <v>0.8</v>
      </c>
      <c r="J17" s="12">
        <f>J16/J10</f>
        <v>0.7999999999999999</v>
      </c>
      <c r="K17" s="12">
        <f>K16/K10</f>
        <v>0.7999999999999999</v>
      </c>
      <c r="L17" s="12">
        <f>L16/L10</f>
        <v>0.7999999999999999</v>
      </c>
      <c r="M17" s="12">
        <f>M16/M10</f>
        <v>0.8</v>
      </c>
      <c r="N17" s="12">
        <f>N16/N10</f>
        <v>0.7999999999999999</v>
      </c>
      <c r="O17" s="12">
        <f>O16/O10</f>
        <v>0.7999999999999999</v>
      </c>
      <c r="P17" s="12">
        <f>P16/P10</f>
        <v>0.8</v>
      </c>
      <c r="Q17" s="12">
        <f>Q16/Q10</f>
        <v>0.8</v>
      </c>
      <c r="R17" s="12">
        <f>R16/R10</f>
        <v>0.7999999999999999</v>
      </c>
      <c r="S17" s="12">
        <f>S16/S10</f>
        <v>0.8</v>
      </c>
      <c r="T17" s="12">
        <f>T16/T10</f>
        <v>0.8</v>
      </c>
      <c r="U17" s="12">
        <f>U16/U10</f>
        <v>0.8</v>
      </c>
      <c r="V17" s="12">
        <f>V16/V10</f>
        <v>0.8</v>
      </c>
      <c r="W17" s="12">
        <f>W16/W10</f>
        <v>0.8</v>
      </c>
      <c r="X17" s="12">
        <f>X16/X10</f>
        <v>0.8</v>
      </c>
      <c r="Y17" s="12">
        <f>Y16/Y10</f>
        <v>0.7999999999999999</v>
      </c>
      <c r="Z17" s="12">
        <f>Z16/Z10</f>
        <v>0.8</v>
      </c>
      <c r="AA17" s="12">
        <f>AA16/AA10</f>
        <v>0.7999999999999999</v>
      </c>
      <c r="AB17" s="12">
        <f>AB16/AB10</f>
        <v>0.8</v>
      </c>
      <c r="AC17" s="12">
        <f>AC16/AC10</f>
        <v>0.8</v>
      </c>
      <c r="AD17" s="12">
        <f>AD16/AD10</f>
        <v>0.7999999999999999</v>
      </c>
      <c r="AE17" s="12">
        <f>AE16/AE10</f>
        <v>0.7999999999999999</v>
      </c>
      <c r="AF17" s="12">
        <f>AF16/AF10</f>
        <v>0.7999999999999999</v>
      </c>
      <c r="AG17" s="12">
        <f>AG16/AG10</f>
        <v>0.7999999999999999</v>
      </c>
      <c r="AH17" s="12">
        <f>AH16/AH10</f>
        <v>0.8</v>
      </c>
      <c r="AI17" s="12">
        <f>AI16/AI10</f>
        <v>0.8</v>
      </c>
    </row>
    <row r="18" spans="1:35">
      <c r="A18" s="9" t="s">
        <v>102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>
      <c r="A19" t="s">
        <v>103</v>
      </c>
      <c r="B19" t="s">
        <v>104</v>
      </c>
      <c r="C19" s="10">
        <v>27231.37</v>
      </c>
      <c r="D19" s="10">
        <v>34039.22</v>
      </c>
      <c r="E19" s="10">
        <v>34039.22</v>
      </c>
      <c r="F19" s="10">
        <v>40847.06</v>
      </c>
      <c r="G19" s="10">
        <v>47654.9</v>
      </c>
      <c r="H19" s="10">
        <v>47654.9</v>
      </c>
      <c r="I19" s="10">
        <v>54462.75</v>
      </c>
      <c r="J19" s="10">
        <v>61270.59</v>
      </c>
      <c r="K19" s="10">
        <v>61270.59</v>
      </c>
      <c r="L19" s="10">
        <v>68078.42999999999</v>
      </c>
      <c r="M19" s="10">
        <v>68078.42999999999</v>
      </c>
      <c r="N19" s="10">
        <v>74886.27</v>
      </c>
      <c r="O19" s="10">
        <v>81694.12</v>
      </c>
      <c r="P19" s="10">
        <v>81694.12</v>
      </c>
      <c r="Q19" s="10">
        <v>88501.96000000001</v>
      </c>
      <c r="R19" s="10">
        <v>95309.8</v>
      </c>
      <c r="S19" s="10">
        <v>95309.8</v>
      </c>
      <c r="T19" s="10">
        <v>102117.65</v>
      </c>
      <c r="U19" s="10">
        <v>108925.49</v>
      </c>
      <c r="V19" s="10">
        <v>108925.49</v>
      </c>
      <c r="W19" s="10">
        <v>115733.33</v>
      </c>
      <c r="X19" s="10">
        <v>136000</v>
      </c>
      <c r="Y19" s="10">
        <v>155733.3333333333</v>
      </c>
      <c r="Z19" s="10">
        <v>174400</v>
      </c>
      <c r="AA19" s="10">
        <v>174400</v>
      </c>
      <c r="AB19" s="10">
        <v>174400</v>
      </c>
      <c r="AC19" s="10">
        <v>174400</v>
      </c>
      <c r="AD19" s="10">
        <v>174400</v>
      </c>
      <c r="AE19" s="10">
        <v>174400</v>
      </c>
      <c r="AF19" s="10">
        <v>174400</v>
      </c>
      <c r="AG19" s="10">
        <v>174400</v>
      </c>
      <c r="AH19" s="10">
        <v>174400</v>
      </c>
      <c r="AI19" s="10">
        <v>174400</v>
      </c>
    </row>
    <row r="20" spans="1:35">
      <c r="A20" t="s">
        <v>105</v>
      </c>
      <c r="B20" t="s">
        <v>104</v>
      </c>
      <c r="C20" s="10">
        <v>290.95</v>
      </c>
      <c r="D20" s="10">
        <v>746.9</v>
      </c>
      <c r="E20" s="10">
        <v>1092.74</v>
      </c>
      <c r="F20" s="10">
        <v>1350.69</v>
      </c>
      <c r="G20" s="10">
        <v>1767.92</v>
      </c>
      <c r="H20" s="10">
        <v>2146.76</v>
      </c>
      <c r="I20" s="10">
        <v>2542.1</v>
      </c>
      <c r="J20" s="10">
        <v>3151.61</v>
      </c>
      <c r="K20" s="10">
        <v>3810.62</v>
      </c>
      <c r="L20" s="10">
        <v>4475.02</v>
      </c>
      <c r="M20" s="10">
        <v>7256.81</v>
      </c>
      <c r="N20" s="10">
        <v>8014.49</v>
      </c>
      <c r="O20" s="10">
        <v>8497.389999999999</v>
      </c>
      <c r="P20" s="10">
        <v>9430.85</v>
      </c>
      <c r="Q20" s="10">
        <v>10557.25</v>
      </c>
      <c r="R20" s="10">
        <v>13525.93</v>
      </c>
      <c r="S20" s="10">
        <v>14734.5</v>
      </c>
      <c r="T20" s="10">
        <v>15712.07</v>
      </c>
      <c r="U20" s="10">
        <v>16519.25</v>
      </c>
      <c r="V20" s="10">
        <v>19388.27</v>
      </c>
      <c r="W20" s="10">
        <v>20541.29</v>
      </c>
      <c r="X20" s="10">
        <v>20541.29</v>
      </c>
      <c r="Y20" s="10">
        <v>20541.29</v>
      </c>
      <c r="Z20" s="10">
        <v>20541.29</v>
      </c>
      <c r="AA20" s="10">
        <v>20541.29</v>
      </c>
      <c r="AB20" s="10">
        <v>20541.29</v>
      </c>
      <c r="AC20" s="10">
        <v>20541.29</v>
      </c>
      <c r="AD20" s="10">
        <v>20541.29</v>
      </c>
      <c r="AE20" s="10">
        <v>20541.29</v>
      </c>
      <c r="AF20" s="10">
        <v>20541.29</v>
      </c>
      <c r="AG20" s="10">
        <v>20541.29</v>
      </c>
      <c r="AH20" s="10">
        <v>20541.29</v>
      </c>
      <c r="AI20" s="10">
        <v>20541.29</v>
      </c>
    </row>
    <row r="21" spans="1:35">
      <c r="A21" t="s">
        <v>106</v>
      </c>
      <c r="B21" t="s">
        <v>107</v>
      </c>
      <c r="C21" s="10">
        <v>20329.41</v>
      </c>
      <c r="D21" s="10">
        <v>25411.76</v>
      </c>
      <c r="E21" s="10">
        <v>25411.76</v>
      </c>
      <c r="F21" s="10">
        <v>30494.12</v>
      </c>
      <c r="G21" s="10">
        <v>35576.47</v>
      </c>
      <c r="H21" s="10">
        <v>35576.47</v>
      </c>
      <c r="I21" s="10">
        <v>40658.82</v>
      </c>
      <c r="J21" s="10">
        <v>45741.18</v>
      </c>
      <c r="K21" s="10">
        <v>45741.18</v>
      </c>
      <c r="L21" s="10">
        <v>50823.53</v>
      </c>
      <c r="M21" s="10">
        <v>50823.53</v>
      </c>
      <c r="N21" s="10">
        <v>55905.88</v>
      </c>
      <c r="O21" s="10">
        <v>60988.24</v>
      </c>
      <c r="P21" s="10">
        <v>60988.24</v>
      </c>
      <c r="Q21" s="10">
        <v>66070.59</v>
      </c>
      <c r="R21" s="10">
        <v>71152.94</v>
      </c>
      <c r="S21" s="10">
        <v>71152.94</v>
      </c>
      <c r="T21" s="10">
        <v>76235.28999999999</v>
      </c>
      <c r="U21" s="10">
        <v>81317.64999999999</v>
      </c>
      <c r="V21" s="10">
        <v>81317.64999999999</v>
      </c>
      <c r="W21" s="10">
        <v>86400</v>
      </c>
      <c r="X21" s="10">
        <v>101333.3333333333</v>
      </c>
      <c r="Y21" s="10">
        <v>116800</v>
      </c>
      <c r="Z21" s="10">
        <v>133333.3333333333</v>
      </c>
      <c r="AA21" s="10">
        <v>156266.6666666667</v>
      </c>
      <c r="AB21" s="10">
        <v>156266.6666666667</v>
      </c>
      <c r="AC21" s="10">
        <v>156266.6666666667</v>
      </c>
      <c r="AD21" s="10">
        <v>156266.6666666667</v>
      </c>
      <c r="AE21" s="10">
        <v>156266.6666666667</v>
      </c>
      <c r="AF21" s="10">
        <v>156266.6666666667</v>
      </c>
      <c r="AG21" s="10">
        <v>156266.6666666667</v>
      </c>
      <c r="AH21" s="10">
        <v>156266.6666666667</v>
      </c>
      <c r="AI21" s="10">
        <v>156266.6666666667</v>
      </c>
    </row>
    <row r="22" spans="1:35">
      <c r="A22" t="s">
        <v>108</v>
      </c>
      <c r="B22" t="s">
        <v>107</v>
      </c>
      <c r="C22" s="10">
        <v>4768.63</v>
      </c>
      <c r="D22" s="10">
        <v>5960.78</v>
      </c>
      <c r="E22" s="10">
        <v>5960.78</v>
      </c>
      <c r="F22" s="10">
        <v>7152.94</v>
      </c>
      <c r="G22" s="10">
        <v>8345.1</v>
      </c>
      <c r="H22" s="10">
        <v>8345.1</v>
      </c>
      <c r="I22" s="10">
        <v>9537.25</v>
      </c>
      <c r="J22" s="10">
        <v>10729.41</v>
      </c>
      <c r="K22" s="10">
        <v>10729.41</v>
      </c>
      <c r="L22" s="10">
        <v>11921.57</v>
      </c>
      <c r="M22" s="10">
        <v>11921.57</v>
      </c>
      <c r="N22" s="10">
        <v>13113.73</v>
      </c>
      <c r="O22" s="10">
        <v>14305.88</v>
      </c>
      <c r="P22" s="10">
        <v>14305.88</v>
      </c>
      <c r="Q22" s="10">
        <v>15498.04</v>
      </c>
      <c r="R22" s="10">
        <v>16690.2</v>
      </c>
      <c r="S22" s="10">
        <v>16690.2</v>
      </c>
      <c r="T22" s="10">
        <v>17882.35</v>
      </c>
      <c r="U22" s="10">
        <v>19074.51</v>
      </c>
      <c r="V22" s="10">
        <v>19074.51</v>
      </c>
      <c r="W22" s="10">
        <v>20266.67</v>
      </c>
      <c r="X22" s="10">
        <v>20266.66666666667</v>
      </c>
      <c r="Y22" s="10">
        <v>20266.66666666667</v>
      </c>
      <c r="Z22" s="10">
        <v>20266.66666666667</v>
      </c>
      <c r="AA22" s="10">
        <v>32533.33333333334</v>
      </c>
      <c r="AB22" s="10">
        <v>32533.33333333334</v>
      </c>
      <c r="AC22" s="10">
        <v>32533.33333333334</v>
      </c>
      <c r="AD22" s="10">
        <v>32533.33333333334</v>
      </c>
      <c r="AE22" s="10">
        <v>32533.33333333334</v>
      </c>
      <c r="AF22" s="10">
        <v>32533.33333333334</v>
      </c>
      <c r="AG22" s="10">
        <v>32533.33333333334</v>
      </c>
      <c r="AH22" s="10">
        <v>32533.33333333334</v>
      </c>
      <c r="AI22" s="10">
        <v>32533.33333333334</v>
      </c>
    </row>
    <row r="23" spans="1:35">
      <c r="A23" t="s">
        <v>109</v>
      </c>
      <c r="B23" t="s">
        <v>107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140000</v>
      </c>
      <c r="AB23" s="10">
        <v>140000</v>
      </c>
      <c r="AC23" s="10">
        <v>140000</v>
      </c>
      <c r="AD23" s="10">
        <v>140000</v>
      </c>
      <c r="AE23" s="10">
        <v>140000</v>
      </c>
      <c r="AF23" s="10">
        <v>140000</v>
      </c>
      <c r="AG23" s="10">
        <v>140000</v>
      </c>
      <c r="AH23" s="10">
        <v>140000</v>
      </c>
      <c r="AI23" s="10">
        <v>140000</v>
      </c>
    </row>
    <row r="24" spans="1:35">
      <c r="A24" t="s">
        <v>110</v>
      </c>
      <c r="B24" t="s">
        <v>111</v>
      </c>
      <c r="C24" s="10">
        <v>7403.92</v>
      </c>
      <c r="D24" s="10">
        <v>9254.9</v>
      </c>
      <c r="E24" s="10">
        <v>9254.9</v>
      </c>
      <c r="F24" s="10">
        <v>11105.88</v>
      </c>
      <c r="G24" s="10">
        <v>12956.86</v>
      </c>
      <c r="H24" s="10">
        <v>12956.86</v>
      </c>
      <c r="I24" s="10">
        <v>14807.84</v>
      </c>
      <c r="J24" s="10">
        <v>16658.82</v>
      </c>
      <c r="K24" s="10">
        <v>16658.82</v>
      </c>
      <c r="L24" s="10">
        <v>18509.8</v>
      </c>
      <c r="M24" s="10">
        <v>18509.8</v>
      </c>
      <c r="N24" s="10">
        <v>20360.78</v>
      </c>
      <c r="O24" s="10">
        <v>22211.76</v>
      </c>
      <c r="P24" s="10">
        <v>22211.76</v>
      </c>
      <c r="Q24" s="10">
        <v>24062.75</v>
      </c>
      <c r="R24" s="10">
        <v>25913.73</v>
      </c>
      <c r="S24" s="10">
        <v>25913.73</v>
      </c>
      <c r="T24" s="10">
        <v>27764.71</v>
      </c>
      <c r="U24" s="10">
        <v>29615.69</v>
      </c>
      <c r="V24" s="10">
        <v>29615.69</v>
      </c>
      <c r="W24" s="10">
        <v>31466.67</v>
      </c>
      <c r="X24" s="10">
        <v>31466.66666666667</v>
      </c>
      <c r="Y24" s="10">
        <v>31466.66666666667</v>
      </c>
      <c r="Z24" s="10">
        <v>31466.66666666667</v>
      </c>
      <c r="AA24" s="10">
        <v>31466.66666666667</v>
      </c>
      <c r="AB24" s="10">
        <v>31466.66666666667</v>
      </c>
      <c r="AC24" s="10">
        <v>31466.66666666667</v>
      </c>
      <c r="AD24" s="10">
        <v>31466.66666666667</v>
      </c>
      <c r="AE24" s="10">
        <v>31466.66666666667</v>
      </c>
      <c r="AF24" s="10">
        <v>31466.66666666667</v>
      </c>
      <c r="AG24" s="10">
        <v>31466.66666666667</v>
      </c>
      <c r="AH24" s="10">
        <v>31466.66666666667</v>
      </c>
      <c r="AI24" s="10">
        <v>31466.66666666667</v>
      </c>
    </row>
    <row r="25" spans="1:35">
      <c r="A25" t="s">
        <v>112</v>
      </c>
      <c r="B25" t="s">
        <v>111</v>
      </c>
      <c r="C25" s="10">
        <v>32470.59</v>
      </c>
      <c r="D25" s="10">
        <v>34588.24</v>
      </c>
      <c r="E25" s="10">
        <v>34588.24</v>
      </c>
      <c r="F25" s="10">
        <v>36705.88</v>
      </c>
      <c r="G25" s="10">
        <v>38823.53</v>
      </c>
      <c r="H25" s="10">
        <v>38823.53</v>
      </c>
      <c r="I25" s="10">
        <v>40941.18</v>
      </c>
      <c r="J25" s="10">
        <v>43058.82</v>
      </c>
      <c r="K25" s="10">
        <v>43058.82</v>
      </c>
      <c r="L25" s="10">
        <v>45176.47</v>
      </c>
      <c r="M25" s="10">
        <v>45176.47</v>
      </c>
      <c r="N25" s="10">
        <v>47294.12</v>
      </c>
      <c r="O25" s="10">
        <v>49411.76</v>
      </c>
      <c r="P25" s="10">
        <v>49411.76</v>
      </c>
      <c r="Q25" s="10">
        <v>51529.41</v>
      </c>
      <c r="R25" s="10">
        <v>53647.06</v>
      </c>
      <c r="S25" s="10">
        <v>53647.06</v>
      </c>
      <c r="T25" s="10">
        <v>55764.71</v>
      </c>
      <c r="U25" s="10">
        <v>57882.35</v>
      </c>
      <c r="V25" s="10">
        <v>57882.35</v>
      </c>
      <c r="W25" s="10">
        <v>60000</v>
      </c>
      <c r="X25" s="10">
        <v>60000</v>
      </c>
      <c r="Y25" s="10">
        <v>60000</v>
      </c>
      <c r="Z25" s="10">
        <v>60000</v>
      </c>
      <c r="AA25" s="10">
        <v>60000</v>
      </c>
      <c r="AB25" s="10">
        <v>60000</v>
      </c>
      <c r="AC25" s="10">
        <v>60000</v>
      </c>
      <c r="AD25" s="10">
        <v>60000</v>
      </c>
      <c r="AE25" s="10">
        <v>60000</v>
      </c>
      <c r="AF25" s="10">
        <v>60000</v>
      </c>
      <c r="AG25" s="10">
        <v>60000</v>
      </c>
      <c r="AH25" s="10">
        <v>60000</v>
      </c>
      <c r="AI25" s="10">
        <v>60000</v>
      </c>
    </row>
    <row r="26" spans="1:35">
      <c r="A26" t="s">
        <v>113</v>
      </c>
      <c r="C26" s="11">
        <f>C19+C20+C21+C22+C23+C24+C25</f>
        <v>92494.87</v>
      </c>
      <c r="D26" s="11">
        <f>D19+D20+D21+D22+D23+D24+D25</f>
        <v>110001.8</v>
      </c>
      <c r="E26" s="11">
        <f>E19+E20+E21+E22+E23+E24+E25</f>
        <v>110347.64</v>
      </c>
      <c r="F26" s="11">
        <f>F19+F20+F21+F22+F23+F24+F25</f>
        <v>127656.56999999999</v>
      </c>
      <c r="G26" s="11">
        <f>G19+G20+G21+G22+G23+G24+G25</f>
        <v>145124.78</v>
      </c>
      <c r="H26" s="11">
        <f>H19+H20+H21+H22+H23+H24+H25</f>
        <v>145503.62</v>
      </c>
      <c r="I26" s="11">
        <f>I19+I20+I21+I22+I23+I24+I25</f>
        <v>162949.94</v>
      </c>
      <c r="J26" s="11">
        <f>J19+J20+J21+J22+J23+J24+J25</f>
        <v>180610.43</v>
      </c>
      <c r="K26" s="11">
        <f>K19+K20+K21+K22+K23+K24+K25</f>
        <v>181269.44</v>
      </c>
      <c r="L26" s="11">
        <f>L19+L20+L21+L22+L23+L24+L25</f>
        <v>198984.82</v>
      </c>
      <c r="M26" s="11">
        <f>M19+M20+M21+M22+M23+M24+M25</f>
        <v>201766.61</v>
      </c>
      <c r="N26" s="11">
        <f>N19+N20+N21+N22+N23+N24+N25</f>
        <v>219575.27</v>
      </c>
      <c r="O26" s="11">
        <f>O19+O20+O21+O22+O23+O24+O25</f>
        <v>237109.15</v>
      </c>
      <c r="P26" s="11">
        <f>P19+P20+P21+P22+P23+P24+P25</f>
        <v>238042.61</v>
      </c>
      <c r="Q26" s="11">
        <f>Q19+Q20+Q21+Q22+Q23+Q24+Q25</f>
        <v>256220.0</v>
      </c>
      <c r="R26" s="11">
        <f>R19+R20+R21+R22+R23+R24+R25</f>
        <v>276239.66000000003</v>
      </c>
      <c r="S26" s="11">
        <f>S19+S20+S21+S22+S23+S24+S25</f>
        <v>277448.23</v>
      </c>
      <c r="T26" s="11">
        <f>T19+T20+T21+T22+T23+T24+T25</f>
        <v>295476.77999999997</v>
      </c>
      <c r="U26" s="11">
        <f>U19+U20+U21+U22+U23+U24+U25</f>
        <v>313334.94</v>
      </c>
      <c r="V26" s="11">
        <f>V19+V20+V21+V22+V23+V24+V25</f>
        <v>316203.96</v>
      </c>
      <c r="W26" s="11">
        <f>W19+W20+W21+W22+W23+W24+W25</f>
        <v>334407.96</v>
      </c>
      <c r="X26" s="11">
        <f>X19+X20+X21+X22+X23+X24+X25</f>
        <v>369607.95666666667</v>
      </c>
      <c r="Y26" s="11">
        <f>Y19+Y20+Y21+Y22+Y23+Y24+Y25</f>
        <v>404807.95666666667</v>
      </c>
      <c r="Z26" s="11">
        <f>Z19+Z20+Z21+Z22+Z23+Z24+Z25</f>
        <v>440007.95666666667</v>
      </c>
      <c r="AA26" s="11">
        <f>AA19+AA20+AA21+AA22+AA23+AA24+AA25</f>
        <v>615207.9566666667</v>
      </c>
      <c r="AB26" s="11">
        <f>AB19+AB20+AB21+AB22+AB23+AB24+AB25</f>
        <v>615207.9566666667</v>
      </c>
      <c r="AC26" s="11">
        <f>AC19+AC20+AC21+AC22+AC23+AC24+AC25</f>
        <v>615207.9566666667</v>
      </c>
      <c r="AD26" s="11">
        <f>AD19+AD20+AD21+AD22+AD23+AD24+AD25</f>
        <v>615207.9566666667</v>
      </c>
      <c r="AE26" s="11">
        <f>AE19+AE20+AE21+AE22+AE23+AE24+AE25</f>
        <v>615207.9566666667</v>
      </c>
      <c r="AF26" s="11">
        <f>AF19+AF20+AF21+AF22+AF23+AF24+AF25</f>
        <v>615207.9566666667</v>
      </c>
      <c r="AG26" s="11">
        <f>AG19+AG20+AG21+AG22+AG23+AG24+AG25</f>
        <v>615207.9566666667</v>
      </c>
      <c r="AH26" s="11">
        <f>AH19+AH20+AH21+AH22+AH23+AH24+AH25</f>
        <v>615207.9566666667</v>
      </c>
      <c r="AI26" s="11">
        <f>AI19+AI20+AI21+AI22+AI23+AI24+AI25</f>
        <v>615207.9566666667</v>
      </c>
    </row>
    <row r="27" spans="1:35">
      <c r="A27" t="s">
        <v>114</v>
      </c>
      <c r="C27" s="11">
        <f>C16+C9-C26</f>
        <v>-87878.87</v>
      </c>
      <c r="D27" s="11">
        <f>D16+D9-D26</f>
        <v>-101569.8</v>
      </c>
      <c r="E27" s="11">
        <f>E16+E9-E26</f>
        <v>-99400.44</v>
      </c>
      <c r="F27" s="11">
        <f>F16+F9-F26</f>
        <v>-114333.37</v>
      </c>
      <c r="G27" s="11">
        <f>G16+G9-G26</f>
        <v>-128767.18</v>
      </c>
      <c r="H27" s="11">
        <f>H16+H9-H26</f>
        <v>-126390.81999999999</v>
      </c>
      <c r="I27" s="11">
        <f>I16+I9-I26</f>
        <v>-139961.94</v>
      </c>
      <c r="J27" s="11">
        <f>J16+J9-J26</f>
        <v>-152689.63</v>
      </c>
      <c r="K27" s="11">
        <f>K16+K9-K26</f>
        <v>-148055.84</v>
      </c>
      <c r="L27" s="11">
        <f>L16+L9-L26</f>
        <v>-159939.22</v>
      </c>
      <c r="M27" s="11">
        <f>M16+M9-M26</f>
        <v>-141989.81</v>
      </c>
      <c r="N27" s="11">
        <f>N16+N9-N26</f>
        <v>-154788.07</v>
      </c>
      <c r="O27" s="11">
        <f>O16+O9-O26</f>
        <v>-169309.95</v>
      </c>
      <c r="P27" s="11">
        <f>P16+P9-P26</f>
        <v>-161954.61</v>
      </c>
      <c r="Q27" s="11">
        <f>Q16+Q9-Q26</f>
        <v>-172440.0</v>
      </c>
      <c r="R27" s="11">
        <f>R16+R9-R26</f>
        <v>-170869.26000000004</v>
      </c>
      <c r="S27" s="11">
        <f>S16+S9-S26</f>
        <v>-162788.22999999998</v>
      </c>
      <c r="T27" s="11">
        <f>T16+T9-T26</f>
        <v>-173207.17999999996</v>
      </c>
      <c r="U27" s="11">
        <f>U16+U9-U26</f>
        <v>-184194.94</v>
      </c>
      <c r="V27" s="11">
        <f>V16+V9-V26</f>
        <v>-165698.36000000002</v>
      </c>
      <c r="W27" s="11">
        <f>W16+W9-W26</f>
        <v>-175516.76</v>
      </c>
      <c r="X27" s="11">
        <f>X16+X9-X26</f>
        <v>-214988.06466666667</v>
      </c>
      <c r="Y27" s="11">
        <f>Y16+Y9-Y26</f>
        <v>-244776.3684466667</v>
      </c>
      <c r="Z27" s="11">
        <f>Z16+Z9-Z26</f>
        <v>-274375.2628589667</v>
      </c>
      <c r="AA27" s="11">
        <f>AA16+AA9-AA26</f>
        <v>-443778.1185756972</v>
      </c>
      <c r="AB27" s="11">
        <f>AB16+AB9-AB26</f>
        <v>-437778.0742425133</v>
      </c>
      <c r="AC27" s="11">
        <f>AC16+AC9-AC26</f>
        <v>-431568.0283576679</v>
      </c>
      <c r="AD27" s="11">
        <f>AD16+AD9-AD26</f>
        <v>-425140.630866853</v>
      </c>
      <c r="AE27" s="11">
        <f>AE16+AE9-AE26</f>
        <v>-418488.2744638595</v>
      </c>
      <c r="AF27" s="11">
        <f>AF16+AF9-AF26</f>
        <v>-411603.0855867613</v>
      </c>
      <c r="AG27" s="11">
        <f>AG16+AG9-AG26</f>
        <v>-404476.91509896464</v>
      </c>
      <c r="AH27" s="11">
        <f>AH16+AH9-AH26</f>
        <v>-397101.32864409505</v>
      </c>
      <c r="AI27" s="11">
        <f>AI16+AI9-AI26</f>
        <v>-389467.59666330507</v>
      </c>
    </row>
    <row r="28" spans="1:35">
      <c r="A28" s="9" t="s">
        <v>115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>
      <c r="A29" t="s">
        <v>116</v>
      </c>
      <c r="B29" t="s">
        <v>115</v>
      </c>
      <c r="C29" s="10">
        <f>C19+C21+C22+C24</f>
        <v>59733.329999999994</v>
      </c>
      <c r="D29" s="10">
        <f>D19+D21+D22+D24</f>
        <v>74666.65999999999</v>
      </c>
      <c r="E29" s="10">
        <f>E19+E21+E22+E24</f>
        <v>74666.65999999999</v>
      </c>
      <c r="F29" s="10">
        <f>F19+F21+F22+F24</f>
        <v>89600.0</v>
      </c>
      <c r="G29" s="10">
        <f>G19+G21+G22+G24</f>
        <v>104533.33</v>
      </c>
      <c r="H29" s="10">
        <f>H19+H21+H22+H24</f>
        <v>104533.33</v>
      </c>
      <c r="I29" s="10">
        <f>I19+I21+I22+I24</f>
        <v>119466.66</v>
      </c>
      <c r="J29" s="10">
        <f>J19+J21+J22+J24</f>
        <v>134400.0</v>
      </c>
      <c r="K29" s="10">
        <f>K19+K21+K22+K24</f>
        <v>134400.0</v>
      </c>
      <c r="L29" s="10">
        <f>L19+L21+L22+L24</f>
        <v>149333.33</v>
      </c>
      <c r="M29" s="10">
        <f>M19+M21+M22+M24</f>
        <v>149333.33</v>
      </c>
      <c r="N29" s="10">
        <f>N19+N21+N22+N24</f>
        <v>164266.66</v>
      </c>
      <c r="O29" s="10">
        <f>O19+O21+O22+O24</f>
        <v>179200.0</v>
      </c>
      <c r="P29" s="10">
        <f>P19+P21+P22+P24</f>
        <v>179200.0</v>
      </c>
      <c r="Q29" s="10">
        <f>Q19+Q21+Q22+Q24</f>
        <v>194133.34</v>
      </c>
      <c r="R29" s="10">
        <f>R19+R21+R22+R24</f>
        <v>209066.67</v>
      </c>
      <c r="S29" s="10">
        <f>S19+S21+S22+S24</f>
        <v>209066.67</v>
      </c>
      <c r="T29" s="10">
        <f>T19+T21+T22+T24</f>
        <v>224000.0</v>
      </c>
      <c r="U29" s="10">
        <f>U19+U21+U22+U24</f>
        <v>238933.34000000003</v>
      </c>
      <c r="V29" s="10">
        <f>V19+V21+V22+V24</f>
        <v>238933.34000000003</v>
      </c>
      <c r="W29" s="10">
        <f>W19+W21+W22+W24</f>
        <v>253866.66999999998</v>
      </c>
      <c r="X29" s="10">
        <f>X19+X21+X22+X24</f>
        <v>289066.6666666666</v>
      </c>
      <c r="Y29" s="10">
        <f>Y19+Y21+Y22+Y24</f>
        <v>324266.66666666674</v>
      </c>
      <c r="Z29" s="10">
        <f>Z19+Z21+Z22+Z24</f>
        <v>359466.66666666674</v>
      </c>
      <c r="AA29" s="10">
        <f>AA19+AA21+AA22+AA24</f>
        <v>394666.6666666667</v>
      </c>
      <c r="AB29" s="10">
        <f>AB19+AB21+AB22+AB24</f>
        <v>394666.6666666667</v>
      </c>
      <c r="AC29" s="10">
        <f>AC19+AC21+AC22+AC24</f>
        <v>394666.6666666667</v>
      </c>
      <c r="AD29" s="10">
        <f>AD19+AD21+AD22+AD24</f>
        <v>394666.6666666667</v>
      </c>
      <c r="AE29" s="10">
        <f>AE19+AE21+AE22+AE24</f>
        <v>394666.6666666667</v>
      </c>
      <c r="AF29" s="10">
        <f>AF19+AF21+AF22+AF24</f>
        <v>394666.6666666667</v>
      </c>
      <c r="AG29" s="10">
        <f>AG19+AG21+AG22+AG24</f>
        <v>394666.6666666667</v>
      </c>
      <c r="AH29" s="10">
        <f>AH19+AH21+AH22+AH24</f>
        <v>394666.6666666667</v>
      </c>
      <c r="AI29" s="10">
        <f>AI19+AI21+AI22+AI24</f>
        <v>394666.6666666667</v>
      </c>
    </row>
    <row r="30" spans="1:35">
      <c r="A30" t="s">
        <v>117</v>
      </c>
      <c r="B30" t="s">
        <v>115</v>
      </c>
      <c r="C30" s="10">
        <f>-C27</f>
        <v>87878.87</v>
      </c>
      <c r="D30" s="10">
        <f>-D27</f>
        <v>101569.8</v>
      </c>
      <c r="E30" s="10">
        <f>-E27</f>
        <v>99400.44</v>
      </c>
      <c r="F30" s="10">
        <f>-F27</f>
        <v>114333.37</v>
      </c>
      <c r="G30" s="10">
        <f>-G27</f>
        <v>128767.18</v>
      </c>
      <c r="H30" s="10">
        <f>-H27</f>
        <v>126390.81999999999</v>
      </c>
      <c r="I30" s="10">
        <f>-I27</f>
        <v>139961.94</v>
      </c>
      <c r="J30" s="10">
        <f>-J27</f>
        <v>152689.63</v>
      </c>
      <c r="K30" s="10">
        <f>-K27</f>
        <v>148055.84</v>
      </c>
      <c r="L30" s="10">
        <f>-L27</f>
        <v>159939.22</v>
      </c>
      <c r="M30" s="10">
        <f>-M27</f>
        <v>141989.81</v>
      </c>
      <c r="N30" s="10">
        <f>-N27</f>
        <v>154788.07</v>
      </c>
      <c r="O30" s="10">
        <f>-O27</f>
        <v>169309.95</v>
      </c>
      <c r="P30" s="10">
        <f>-P27</f>
        <v>161954.61</v>
      </c>
      <c r="Q30" s="10">
        <f>-Q27</f>
        <v>172440.0</v>
      </c>
      <c r="R30" s="10">
        <f>-R27</f>
        <v>170869.26000000004</v>
      </c>
      <c r="S30" s="10">
        <f>-S27</f>
        <v>162788.22999999998</v>
      </c>
      <c r="T30" s="10">
        <f>-T27</f>
        <v>173207.17999999996</v>
      </c>
      <c r="U30" s="10">
        <f>-U27</f>
        <v>184194.94</v>
      </c>
      <c r="V30" s="10">
        <f>-V27</f>
        <v>165698.36000000002</v>
      </c>
      <c r="W30" s="10">
        <f>-W27</f>
        <v>175516.76</v>
      </c>
      <c r="X30" s="10">
        <f>-X27</f>
        <v>214988.06466666667</v>
      </c>
      <c r="Y30" s="10">
        <f>-Y27</f>
        <v>244776.3684466667</v>
      </c>
      <c r="Z30" s="10">
        <f>-Z27</f>
        <v>274375.2628589667</v>
      </c>
      <c r="AA30" s="10">
        <f>-AA27</f>
        <v>443778.1185756972</v>
      </c>
      <c r="AB30" s="10">
        <f>-AB27</f>
        <v>437778.0742425133</v>
      </c>
      <c r="AC30" s="10">
        <f>-AC27</f>
        <v>431568.0283576679</v>
      </c>
      <c r="AD30" s="10">
        <f>-AD27</f>
        <v>425140.630866853</v>
      </c>
      <c r="AE30" s="10">
        <f>-AE27</f>
        <v>418488.2744638595</v>
      </c>
      <c r="AF30" s="10">
        <f>-AF27</f>
        <v>411603.0855867613</v>
      </c>
      <c r="AG30" s="10">
        <f>-AG27</f>
        <v>404476.91509896464</v>
      </c>
      <c r="AH30" s="10">
        <f>-AH27</f>
        <v>397101.32864409505</v>
      </c>
      <c r="AI30" s="10">
        <f>-AI27</f>
        <v>389467.59666330507</v>
      </c>
    </row>
    <row r="31" spans="1:35">
      <c r="A31" t="s">
        <v>118</v>
      </c>
      <c r="B31" t="s">
        <v>115</v>
      </c>
      <c r="C31" s="10">
        <v>4</v>
      </c>
      <c r="D31" s="10">
        <v>5</v>
      </c>
      <c r="E31" s="10">
        <v>5</v>
      </c>
      <c r="F31" s="10">
        <v>6</v>
      </c>
      <c r="G31" s="10">
        <v>7</v>
      </c>
      <c r="H31" s="10">
        <v>7</v>
      </c>
      <c r="I31" s="10">
        <v>8</v>
      </c>
      <c r="J31" s="10">
        <v>9</v>
      </c>
      <c r="K31" s="10">
        <v>9</v>
      </c>
      <c r="L31" s="10">
        <v>10</v>
      </c>
      <c r="M31" s="10">
        <v>10</v>
      </c>
      <c r="N31" s="10">
        <v>11</v>
      </c>
      <c r="O31" s="10">
        <v>12</v>
      </c>
      <c r="P31" s="10">
        <v>12</v>
      </c>
      <c r="Q31" s="10">
        <v>13</v>
      </c>
      <c r="R31" s="10">
        <v>14</v>
      </c>
      <c r="S31" s="10">
        <v>14</v>
      </c>
      <c r="T31" s="10">
        <v>15</v>
      </c>
      <c r="U31" s="10">
        <v>16</v>
      </c>
      <c r="V31" s="10">
        <v>16</v>
      </c>
      <c r="W31" s="10">
        <v>17</v>
      </c>
      <c r="X31" s="10">
        <v>19</v>
      </c>
      <c r="Y31" s="10">
        <v>21</v>
      </c>
      <c r="Z31" s="10">
        <v>23</v>
      </c>
      <c r="AA31" s="10">
        <v>25</v>
      </c>
      <c r="AB31" s="10">
        <v>25</v>
      </c>
      <c r="AC31" s="10">
        <v>25</v>
      </c>
      <c r="AD31" s="10">
        <v>25</v>
      </c>
      <c r="AE31" s="10">
        <v>25</v>
      </c>
      <c r="AF31" s="10">
        <v>25</v>
      </c>
      <c r="AG31" s="10">
        <v>25</v>
      </c>
      <c r="AH31" s="10">
        <v>25</v>
      </c>
      <c r="AI31" s="10">
        <v>25</v>
      </c>
    </row>
    <row r="33" spans="1:1">
      <c r="A33" s="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1" width="52.7109375" customWidth="1"/>
    <col min="2" max="2" width="14.7109375" customWidth="1"/>
    <col min="3" max="5" width="16.7109375" customWidth="1"/>
    <col min="6" max="6" width="90.7109375" customWidth="1"/>
  </cols>
  <sheetData>
    <row r="1" spans="1:6">
      <c r="A1" s="1" t="s">
        <v>119</v>
      </c>
    </row>
    <row r="2" spans="1:6">
      <c r="A2" s="3" t="s">
        <v>120</v>
      </c>
    </row>
    <row r="4" spans="1:6">
      <c r="A4" s="4" t="s">
        <v>52</v>
      </c>
      <c r="B4" s="4" t="s">
        <v>121</v>
      </c>
      <c r="C4" s="4" t="s">
        <v>122</v>
      </c>
      <c r="D4" s="4" t="s">
        <v>123</v>
      </c>
      <c r="E4" s="4" t="s">
        <v>124</v>
      </c>
      <c r="F4" s="4" t="s">
        <v>19</v>
      </c>
    </row>
    <row r="5" spans="1:6">
      <c r="A5" t="s">
        <v>125</v>
      </c>
      <c r="B5" t="s">
        <v>126</v>
      </c>
      <c r="C5" s="10">
        <v>13</v>
      </c>
      <c r="D5" s="10">
        <v>9937</v>
      </c>
      <c r="E5" s="10">
        <f>D5*12</f>
        <v>119244</v>
      </c>
      <c r="F5" s="3" t="s">
        <v>127</v>
      </c>
    </row>
    <row r="6" spans="1:6">
      <c r="A6" t="s">
        <v>128</v>
      </c>
      <c r="B6" t="s">
        <v>126</v>
      </c>
      <c r="C6" s="10">
        <v>14</v>
      </c>
      <c r="D6" s="10">
        <v>10736</v>
      </c>
      <c r="E6" s="10">
        <f>D6*12</f>
        <v>128832</v>
      </c>
      <c r="F6" s="3" t="s">
        <v>127</v>
      </c>
    </row>
    <row r="7" spans="1:6">
      <c r="A7" t="s">
        <v>129</v>
      </c>
      <c r="B7" t="s">
        <v>126</v>
      </c>
      <c r="C7" s="10">
        <v>21</v>
      </c>
      <c r="D7" s="10">
        <v>14079</v>
      </c>
      <c r="E7" s="10">
        <f>D7*12</f>
        <v>168948</v>
      </c>
      <c r="F7" s="3" t="s">
        <v>127</v>
      </c>
    </row>
    <row r="8" spans="1:6">
      <c r="A8" t="s">
        <v>130</v>
      </c>
      <c r="B8" t="s">
        <v>126</v>
      </c>
      <c r="C8" s="10">
        <v>32</v>
      </c>
      <c r="D8" s="10">
        <v>54169</v>
      </c>
      <c r="E8" s="10">
        <f>D8*12</f>
        <v>650028</v>
      </c>
      <c r="F8" s="3" t="s">
        <v>127</v>
      </c>
    </row>
    <row r="9" spans="1:6">
      <c r="A9" t="s">
        <v>131</v>
      </c>
      <c r="B9" t="s">
        <v>126</v>
      </c>
      <c r="C9" s="10">
        <v>36</v>
      </c>
      <c r="D9" s="10">
        <v>24114</v>
      </c>
      <c r="E9" s="10">
        <f>D9*12</f>
        <v>289368</v>
      </c>
      <c r="F9" s="3" t="s">
        <v>127</v>
      </c>
    </row>
    <row r="10" spans="1:6">
      <c r="A10" t="s">
        <v>132</v>
      </c>
      <c r="B10" t="s">
        <v>126</v>
      </c>
      <c r="C10" s="10">
        <v>40</v>
      </c>
      <c r="D10" s="10">
        <v>27010</v>
      </c>
      <c r="E10" s="10">
        <f>D10*12</f>
        <v>324120</v>
      </c>
      <c r="F10" s="3" t="s">
        <v>127</v>
      </c>
    </row>
    <row r="11" spans="1:6">
      <c r="A11" t="s">
        <v>133</v>
      </c>
      <c r="B11" t="s">
        <v>126</v>
      </c>
      <c r="C11" s="10">
        <v>56</v>
      </c>
      <c r="D11" s="10">
        <v>31694</v>
      </c>
      <c r="E11" s="10">
        <f>D11*12</f>
        <v>380328</v>
      </c>
      <c r="F11" s="3" t="s">
        <v>127</v>
      </c>
    </row>
    <row r="12" spans="1:6">
      <c r="A12" s="2" t="s">
        <v>134</v>
      </c>
      <c r="B12" t="s">
        <v>126</v>
      </c>
      <c r="C12" s="11">
        <f>SUM(C5:C11)</f>
        <v>212</v>
      </c>
      <c r="D12" s="11">
        <f>SUM(D5:D11)</f>
        <v>171739</v>
      </c>
      <c r="E12" s="11">
        <f>SUM(E5:E11)</f>
        <v>2060868</v>
      </c>
    </row>
    <row r="13" spans="1:6">
      <c r="A13" t="s">
        <v>135</v>
      </c>
      <c r="B13" t="s">
        <v>136</v>
      </c>
      <c r="C13" s="10">
        <v>1</v>
      </c>
      <c r="D13" s="10">
        <v>15000</v>
      </c>
      <c r="E13" s="10">
        <f>D13*12</f>
        <v>180000</v>
      </c>
      <c r="F13" s="3" t="s">
        <v>137</v>
      </c>
    </row>
    <row r="14" spans="1:6">
      <c r="A14" t="s">
        <v>138</v>
      </c>
      <c r="B14" t="s">
        <v>139</v>
      </c>
      <c r="C14" s="10">
        <v>19</v>
      </c>
      <c r="D14" s="10">
        <v>0</v>
      </c>
      <c r="E14" s="10">
        <v>0</v>
      </c>
      <c r="F14" s="3" t="s">
        <v>140</v>
      </c>
    </row>
    <row r="15" spans="1:6">
      <c r="A15" s="2" t="s">
        <v>141</v>
      </c>
      <c r="E15" s="6">
        <f>E12+E13+E14</f>
        <v>2240868</v>
      </c>
    </row>
    <row r="17" spans="1:5">
      <c r="A17" s="2" t="s">
        <v>142</v>
      </c>
    </row>
    <row r="18" spans="1:5">
      <c r="A18" s="4" t="s">
        <v>143</v>
      </c>
      <c r="B18" s="4"/>
      <c r="C18" s="4" t="s">
        <v>144</v>
      </c>
      <c r="D18" s="4" t="s">
        <v>145</v>
      </c>
      <c r="E18" s="4" t="s">
        <v>146</v>
      </c>
    </row>
    <row r="19" spans="1:5">
      <c r="A19" t="s">
        <v>54</v>
      </c>
      <c r="C19" s="10">
        <v>2645</v>
      </c>
      <c r="D19" s="10">
        <v>0</v>
      </c>
      <c r="E19" s="10">
        <f>(C19+D19)*12</f>
        <v>31740</v>
      </c>
    </row>
    <row r="20" spans="1:5">
      <c r="A20" t="s">
        <v>56</v>
      </c>
      <c r="C20" s="10">
        <v>6790</v>
      </c>
      <c r="D20" s="10">
        <v>0</v>
      </c>
      <c r="E20" s="10">
        <f>(C20+D20)*12</f>
        <v>81480</v>
      </c>
    </row>
    <row r="21" spans="1:5">
      <c r="A21" t="s">
        <v>57</v>
      </c>
      <c r="C21" s="10">
        <v>9934</v>
      </c>
      <c r="D21" s="10">
        <v>0</v>
      </c>
      <c r="E21" s="10">
        <f>(C21+D21)*12</f>
        <v>119208</v>
      </c>
    </row>
    <row r="22" spans="1:5">
      <c r="A22" t="s">
        <v>58</v>
      </c>
      <c r="C22" s="10">
        <v>12279</v>
      </c>
      <c r="D22" s="10">
        <v>0</v>
      </c>
      <c r="E22" s="10">
        <f>(C22+D22)*12</f>
        <v>147348</v>
      </c>
    </row>
    <row r="23" spans="1:5">
      <c r="A23" t="s">
        <v>59</v>
      </c>
      <c r="C23" s="10">
        <v>16072</v>
      </c>
      <c r="D23" s="10">
        <v>0</v>
      </c>
      <c r="E23" s="10">
        <f>(C23+D23)*12</f>
        <v>192864</v>
      </c>
    </row>
    <row r="24" spans="1:5">
      <c r="A24" t="s">
        <v>60</v>
      </c>
      <c r="C24" s="10">
        <v>19516</v>
      </c>
      <c r="D24" s="10">
        <v>0</v>
      </c>
      <c r="E24" s="10">
        <f>(C24+D24)*12</f>
        <v>234192</v>
      </c>
    </row>
    <row r="25" spans="1:5">
      <c r="A25" t="s">
        <v>61</v>
      </c>
      <c r="C25" s="10">
        <v>23110</v>
      </c>
      <c r="D25" s="10">
        <v>0</v>
      </c>
      <c r="E25" s="10">
        <f>(C25+D25)*12</f>
        <v>277320</v>
      </c>
    </row>
    <row r="26" spans="1:5">
      <c r="A26" t="s">
        <v>62</v>
      </c>
      <c r="C26" s="10">
        <v>28651</v>
      </c>
      <c r="D26" s="10">
        <v>0</v>
      </c>
      <c r="E26" s="10">
        <f>(C26+D26)*12</f>
        <v>343812</v>
      </c>
    </row>
    <row r="27" spans="1:5">
      <c r="A27" t="s">
        <v>63</v>
      </c>
      <c r="C27" s="10">
        <v>34642</v>
      </c>
      <c r="D27" s="10">
        <v>0</v>
      </c>
      <c r="E27" s="10">
        <f>(C27+D27)*12</f>
        <v>415704</v>
      </c>
    </row>
    <row r="28" spans="1:5">
      <c r="A28" t="s">
        <v>64</v>
      </c>
      <c r="C28" s="10">
        <v>40682</v>
      </c>
      <c r="D28" s="10">
        <v>0</v>
      </c>
      <c r="E28" s="10">
        <f>(C28+D28)*12</f>
        <v>488184</v>
      </c>
    </row>
    <row r="29" spans="1:5">
      <c r="A29" t="s">
        <v>65</v>
      </c>
      <c r="C29" s="10">
        <v>65971</v>
      </c>
      <c r="D29" s="10">
        <v>0</v>
      </c>
      <c r="E29" s="10">
        <f>(C29+D29)*12</f>
        <v>791652</v>
      </c>
    </row>
    <row r="30" spans="1:5">
      <c r="A30" t="s">
        <v>66</v>
      </c>
      <c r="C30" s="10">
        <v>72859</v>
      </c>
      <c r="D30" s="10">
        <v>0</v>
      </c>
      <c r="E30" s="10">
        <f>(C30+D30)*12</f>
        <v>874308</v>
      </c>
    </row>
    <row r="31" spans="1:5">
      <c r="A31" t="s">
        <v>67</v>
      </c>
      <c r="C31" s="10">
        <v>77249</v>
      </c>
      <c r="D31" s="10">
        <v>0</v>
      </c>
      <c r="E31" s="10">
        <f>(C31+D31)*12</f>
        <v>926988</v>
      </c>
    </row>
    <row r="32" spans="1:5">
      <c r="A32" t="s">
        <v>68</v>
      </c>
      <c r="C32" s="10">
        <v>85735</v>
      </c>
      <c r="D32" s="10">
        <v>0</v>
      </c>
      <c r="E32" s="10">
        <f>(C32+D32)*12</f>
        <v>1028820</v>
      </c>
    </row>
    <row r="33" spans="1:5">
      <c r="A33" t="s">
        <v>69</v>
      </c>
      <c r="C33" s="10">
        <v>95975</v>
      </c>
      <c r="D33" s="10">
        <v>0</v>
      </c>
      <c r="E33" s="10">
        <f>(C33+D33)*12</f>
        <v>1151700</v>
      </c>
    </row>
    <row r="34" spans="1:5">
      <c r="A34" t="s">
        <v>70</v>
      </c>
      <c r="C34" s="10">
        <v>122963</v>
      </c>
      <c r="D34" s="10">
        <v>0</v>
      </c>
      <c r="E34" s="10">
        <f>(C34+D34)*12</f>
        <v>1475556</v>
      </c>
    </row>
    <row r="35" spans="1:5">
      <c r="A35" t="s">
        <v>71</v>
      </c>
      <c r="C35" s="10">
        <v>133950</v>
      </c>
      <c r="D35" s="10">
        <v>0</v>
      </c>
      <c r="E35" s="10">
        <f>(C35+D35)*12</f>
        <v>1607400</v>
      </c>
    </row>
    <row r="36" spans="1:5">
      <c r="A36" t="s">
        <v>72</v>
      </c>
      <c r="C36" s="10">
        <v>142837</v>
      </c>
      <c r="D36" s="10">
        <v>0</v>
      </c>
      <c r="E36" s="10">
        <f>(C36+D36)*12</f>
        <v>1714044</v>
      </c>
    </row>
    <row r="37" spans="1:5">
      <c r="A37" t="s">
        <v>73</v>
      </c>
      <c r="C37" s="10">
        <v>150175</v>
      </c>
      <c r="D37" s="10">
        <v>0</v>
      </c>
      <c r="E37" s="10">
        <f>(C37+D37)*12</f>
        <v>1802100</v>
      </c>
    </row>
    <row r="38" spans="1:5">
      <c r="A38" t="s">
        <v>74</v>
      </c>
      <c r="C38" s="10">
        <v>161257</v>
      </c>
      <c r="D38" s="10">
        <v>15000</v>
      </c>
      <c r="E38" s="10">
        <f>(C38+D38)*12</f>
        <v>2115084</v>
      </c>
    </row>
    <row r="39" spans="1:5">
      <c r="A39" t="s">
        <v>75</v>
      </c>
      <c r="C39" s="10">
        <v>171739</v>
      </c>
      <c r="D39" s="10">
        <v>15000</v>
      </c>
      <c r="E39" s="10">
        <f>(C39+D39)*12</f>
        <v>2240868</v>
      </c>
    </row>
    <row r="41" spans="1:5">
      <c r="A41" s="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cols>
    <col min="1" max="1" width="30.7109375" customWidth="1"/>
    <col min="2" max="5" width="16.7109375" customWidth="1"/>
    <col min="6" max="18" width="8.7109375" customWidth="1"/>
  </cols>
  <sheetData>
    <row r="1" spans="1:18">
      <c r="A1" s="1" t="s">
        <v>147</v>
      </c>
    </row>
    <row r="2" spans="1:18">
      <c r="A2" s="3" t="s">
        <v>148</v>
      </c>
    </row>
    <row r="4" spans="1:18">
      <c r="A4" s="4" t="s">
        <v>149</v>
      </c>
      <c r="B4" s="4" t="s">
        <v>122</v>
      </c>
      <c r="C4" s="4" t="s">
        <v>150</v>
      </c>
      <c r="D4" s="4" t="s">
        <v>151</v>
      </c>
      <c r="E4" s="4" t="s">
        <v>152</v>
      </c>
      <c r="F4" s="8" t="s">
        <v>153</v>
      </c>
      <c r="G4" s="8" t="s">
        <v>154</v>
      </c>
      <c r="H4" s="8" t="s">
        <v>155</v>
      </c>
      <c r="I4" s="8" t="s">
        <v>156</v>
      </c>
      <c r="J4" s="8" t="s">
        <v>157</v>
      </c>
      <c r="K4" s="8" t="s">
        <v>158</v>
      </c>
      <c r="L4" s="8" t="s">
        <v>159</v>
      </c>
      <c r="M4" s="8" t="s">
        <v>160</v>
      </c>
      <c r="N4" s="8" t="s">
        <v>161</v>
      </c>
      <c r="O4" s="8" t="s">
        <v>162</v>
      </c>
      <c r="P4" s="8" t="s">
        <v>163</v>
      </c>
      <c r="Q4" s="8" t="s">
        <v>164</v>
      </c>
      <c r="R4" s="8" t="s">
        <v>165</v>
      </c>
    </row>
    <row r="5" spans="1:18">
      <c r="A5" t="s">
        <v>54</v>
      </c>
      <c r="B5" s="10">
        <v>4</v>
      </c>
      <c r="C5" s="10">
        <v>2296</v>
      </c>
      <c r="D5" s="10">
        <v>1947</v>
      </c>
      <c r="E5" s="12">
        <f>D5/C5</f>
        <v>0.8479965156794426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0.8479965156794426</v>
      </c>
      <c r="P5" s="12">
        <v>0.8479965156794426</v>
      </c>
      <c r="Q5" s="12">
        <v>0.8479965156794426</v>
      </c>
      <c r="R5" s="12">
        <v>0.8479965156794426</v>
      </c>
    </row>
    <row r="6" spans="1:18">
      <c r="A6" t="s">
        <v>56</v>
      </c>
      <c r="B6" s="10">
        <v>6</v>
      </c>
      <c r="C6" s="10">
        <v>4494</v>
      </c>
      <c r="D6" s="10">
        <v>5244</v>
      </c>
      <c r="E6" s="12">
        <f>D6/C6</f>
        <v>1.1668891855807744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1.06675567423231</v>
      </c>
      <c r="M6" s="12">
        <v>1.06675567423231</v>
      </c>
      <c r="N6" s="12">
        <v>1.06675567423231</v>
      </c>
      <c r="O6" s="12">
        <v>1.06675567423231</v>
      </c>
      <c r="P6" s="12">
        <v>1.166889185580774</v>
      </c>
      <c r="Q6" s="12">
        <v>1.166889185580774</v>
      </c>
      <c r="R6" s="12">
        <v>1.166889185580774</v>
      </c>
    </row>
    <row r="7" spans="1:18">
      <c r="A7" t="s">
        <v>57</v>
      </c>
      <c r="B7" s="10">
        <v>4</v>
      </c>
      <c r="C7" s="10">
        <v>1396</v>
      </c>
      <c r="D7" s="10">
        <v>1996</v>
      </c>
      <c r="E7" s="12">
        <f>D7/C7</f>
        <v>1.4297994269340975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  <c r="O7" s="12">
        <v>1.214899713467049</v>
      </c>
      <c r="P7" s="12">
        <v>1.429799426934097</v>
      </c>
      <c r="Q7" s="12">
        <v>1.429799426934097</v>
      </c>
      <c r="R7" s="12">
        <v>1.429799426934097</v>
      </c>
    </row>
    <row r="8" spans="1:18">
      <c r="A8" t="s">
        <v>58</v>
      </c>
      <c r="B8" s="10">
        <v>7</v>
      </c>
      <c r="C8" s="10">
        <v>4093</v>
      </c>
      <c r="D8" s="10">
        <v>4344</v>
      </c>
      <c r="E8" s="12">
        <f>D8/C8</f>
        <v>1.0613242120693867</v>
      </c>
      <c r="F8" s="12">
        <v>1</v>
      </c>
      <c r="G8" s="12">
        <v>1</v>
      </c>
      <c r="H8" s="12">
        <v>1</v>
      </c>
      <c r="I8" s="12">
        <v>0.8414365990715856</v>
      </c>
      <c r="J8" s="12">
        <v>0.9147324700708527</v>
      </c>
      <c r="K8" s="12">
        <v>0.9147324700708527</v>
      </c>
      <c r="L8" s="12">
        <v>0.9147324700708527</v>
      </c>
      <c r="M8" s="12">
        <v>1.061324212069387</v>
      </c>
      <c r="N8" s="12">
        <v>1.061324212069387</v>
      </c>
      <c r="O8" s="12">
        <v>1.061324212069387</v>
      </c>
      <c r="P8" s="12">
        <v>1.061324212069387</v>
      </c>
      <c r="Q8" s="12">
        <v>1.061324212069387</v>
      </c>
      <c r="R8" s="12">
        <v>1.061324212069387</v>
      </c>
    </row>
    <row r="9" spans="1:18">
      <c r="A9" t="s">
        <v>59</v>
      </c>
      <c r="B9" s="10">
        <v>5</v>
      </c>
      <c r="C9" s="10">
        <v>3095</v>
      </c>
      <c r="D9" s="10">
        <v>2446</v>
      </c>
      <c r="E9" s="12">
        <f>D9/C9</f>
        <v>0.7903069466882068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>
        <v>0.6449111470113086</v>
      </c>
      <c r="N9" s="12">
        <v>0.6449111470113086</v>
      </c>
      <c r="O9" s="12">
        <v>0.6449111470113086</v>
      </c>
      <c r="P9" s="12">
        <v>0.6449111470113086</v>
      </c>
      <c r="Q9" s="12">
        <v>0.7903069466882068</v>
      </c>
      <c r="R9" s="12">
        <v>0.7903069466882068</v>
      </c>
    </row>
    <row r="10" spans="1:18">
      <c r="A10" t="s">
        <v>60</v>
      </c>
      <c r="B10" s="10">
        <v>6</v>
      </c>
      <c r="C10" s="10">
        <v>3144</v>
      </c>
      <c r="D10" s="10">
        <v>3894</v>
      </c>
      <c r="E10" s="12">
        <f>D10/C10</f>
        <v>1.2385496183206106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  <c r="N10" s="12">
        <v>1</v>
      </c>
      <c r="O10" s="12">
        <v>1</v>
      </c>
      <c r="P10" s="12">
        <v>1</v>
      </c>
      <c r="Q10" s="12">
        <v>1</v>
      </c>
      <c r="R10" s="12">
        <v>1.238549618320611</v>
      </c>
    </row>
    <row r="11" spans="1:18">
      <c r="A11" t="s">
        <v>61</v>
      </c>
      <c r="B11" s="10">
        <v>8</v>
      </c>
      <c r="C11" s="10">
        <v>4892</v>
      </c>
      <c r="D11" s="10">
        <v>4044</v>
      </c>
      <c r="E11" s="12">
        <f>D11/C11</f>
        <v>0.8266557645134914</v>
      </c>
      <c r="F11" s="12">
        <v>1</v>
      </c>
      <c r="G11" s="12">
        <v>1</v>
      </c>
      <c r="H11" s="12">
        <v>1.061324611610793</v>
      </c>
      <c r="I11" s="12">
        <v>1.061324611610793</v>
      </c>
      <c r="J11" s="12">
        <v>1.061324611610793</v>
      </c>
      <c r="K11" s="12">
        <v>1.061324611610793</v>
      </c>
      <c r="L11" s="12">
        <v>1.061324611610793</v>
      </c>
      <c r="M11" s="12">
        <v>1.061324611610793</v>
      </c>
      <c r="N11" s="12">
        <v>1.05130825838103</v>
      </c>
      <c r="O11" s="12">
        <v>1.05130825838103</v>
      </c>
      <c r="P11" s="12">
        <v>1.05130825838103</v>
      </c>
      <c r="Q11" s="12">
        <v>1.05130825838103</v>
      </c>
      <c r="R11" s="12">
        <v>0.8266557645134914</v>
      </c>
    </row>
    <row r="12" spans="1:18">
      <c r="A12" t="s">
        <v>62</v>
      </c>
      <c r="B12" s="10">
        <v>8</v>
      </c>
      <c r="C12" s="10">
        <v>4292</v>
      </c>
      <c r="D12" s="10">
        <v>4644</v>
      </c>
      <c r="E12" s="12">
        <f>D12/C12</f>
        <v>1.082013047530289</v>
      </c>
      <c r="F12" s="12">
        <v>1</v>
      </c>
      <c r="G12" s="12">
        <v>1.069897483690587</v>
      </c>
      <c r="H12" s="12">
        <v>1.174743709226468</v>
      </c>
      <c r="I12" s="12">
        <v>1.023532152842498</v>
      </c>
      <c r="J12" s="12">
        <v>1.023532152842498</v>
      </c>
      <c r="K12" s="12">
        <v>1.023532152842498</v>
      </c>
      <c r="L12" s="12">
        <v>1.023532152842498</v>
      </c>
      <c r="M12" s="12">
        <v>0.8723205964585274</v>
      </c>
      <c r="N12" s="12">
        <v>0.9771668219944082</v>
      </c>
      <c r="O12" s="12">
        <v>1.082013047530289</v>
      </c>
      <c r="P12" s="12">
        <v>1.082013047530289</v>
      </c>
      <c r="Q12" s="12">
        <v>1.082013047530289</v>
      </c>
      <c r="R12" s="12">
        <v>1.082013047530289</v>
      </c>
    </row>
    <row r="13" spans="1:18">
      <c r="A13" t="s">
        <v>63</v>
      </c>
      <c r="B13" s="10">
        <v>9</v>
      </c>
      <c r="C13" s="10">
        <v>5391</v>
      </c>
      <c r="D13" s="10">
        <v>5391</v>
      </c>
      <c r="E13" s="12">
        <f>D13/C13</f>
        <v>1.0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  <c r="R13" s="12">
        <v>1</v>
      </c>
    </row>
    <row r="14" spans="1:18">
      <c r="A14" s="2" t="s">
        <v>166</v>
      </c>
      <c r="B14" s="11">
        <f>SUM(B5:B13)</f>
        <v>57</v>
      </c>
      <c r="C14" s="11">
        <f>SUM(C5:C13)</f>
        <v>33093</v>
      </c>
      <c r="D14" s="11">
        <f>SUM(D5:D13)</f>
        <v>33950</v>
      </c>
      <c r="E14" s="7">
        <f>D14/C14</f>
        <v>1.0258967153174388</v>
      </c>
    </row>
    <row r="16" spans="1:18">
      <c r="A16" s="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30.7109375" customWidth="1"/>
    <col min="2" max="2" width="20.7109375" customWidth="1"/>
    <col min="3" max="6" width="18.7109375" customWidth="1"/>
  </cols>
  <sheetData>
    <row r="1" spans="1:5">
      <c r="A1" s="1" t="s">
        <v>167</v>
      </c>
    </row>
    <row r="2" spans="1:5">
      <c r="A2" s="3" t="s">
        <v>168</v>
      </c>
    </row>
    <row r="4" spans="1:5">
      <c r="A4" s="4" t="s">
        <v>169</v>
      </c>
      <c r="B4" s="4" t="s">
        <v>170</v>
      </c>
      <c r="C4" s="4" t="s">
        <v>171</v>
      </c>
      <c r="D4" s="4" t="s">
        <v>172</v>
      </c>
      <c r="E4" s="4" t="s">
        <v>173</v>
      </c>
    </row>
    <row r="5" spans="1:5">
      <c r="A5" t="s">
        <v>174</v>
      </c>
      <c r="B5" t="s">
        <v>175</v>
      </c>
      <c r="C5" t="s">
        <v>76</v>
      </c>
      <c r="D5" s="10">
        <v>190000</v>
      </c>
      <c r="E5" s="10">
        <f>D5*LOAD_FACTOR/12</f>
        <v>20266.666666666668</v>
      </c>
    </row>
    <row r="6" spans="1:5">
      <c r="A6" t="s">
        <v>176</v>
      </c>
      <c r="B6" t="s">
        <v>177</v>
      </c>
      <c r="C6" t="s">
        <v>76</v>
      </c>
      <c r="D6" s="10">
        <v>140000</v>
      </c>
      <c r="E6" s="10">
        <f>D6*LOAD_FACTOR/12</f>
        <v>14933.333333333334</v>
      </c>
    </row>
    <row r="7" spans="1:5">
      <c r="A7" t="s">
        <v>178</v>
      </c>
      <c r="B7" t="s">
        <v>175</v>
      </c>
      <c r="C7" t="s">
        <v>78</v>
      </c>
      <c r="D7" s="10">
        <v>185000</v>
      </c>
      <c r="E7" s="10">
        <f>D7*LOAD_FACTOR/12</f>
        <v>19733.333333333332</v>
      </c>
    </row>
    <row r="8" spans="1:5">
      <c r="A8" t="s">
        <v>179</v>
      </c>
      <c r="B8" t="s">
        <v>180</v>
      </c>
      <c r="C8" t="s">
        <v>78</v>
      </c>
      <c r="D8" s="10">
        <v>145000</v>
      </c>
      <c r="E8" s="10">
        <f>D8*LOAD_FACTOR/12</f>
        <v>15466.666666666666</v>
      </c>
    </row>
    <row r="9" spans="1:5">
      <c r="A9" t="s">
        <v>181</v>
      </c>
      <c r="B9" t="s">
        <v>175</v>
      </c>
      <c r="C9" t="s">
        <v>79</v>
      </c>
      <c r="D9" s="10">
        <v>175000</v>
      </c>
      <c r="E9" s="10">
        <f>D9*LOAD_FACTOR/12</f>
        <v>18666.666666666668</v>
      </c>
    </row>
    <row r="10" spans="1:5">
      <c r="A10" t="s">
        <v>182</v>
      </c>
      <c r="B10" t="s">
        <v>177</v>
      </c>
      <c r="C10" t="s">
        <v>79</v>
      </c>
      <c r="D10" s="10">
        <v>155000</v>
      </c>
      <c r="E10" s="10">
        <f>D10*LOAD_FACTOR/12</f>
        <v>16533.333333333332</v>
      </c>
    </row>
    <row r="11" spans="1:5">
      <c r="A11" t="s">
        <v>183</v>
      </c>
      <c r="B11" t="s">
        <v>180</v>
      </c>
      <c r="C11" t="s">
        <v>80</v>
      </c>
      <c r="D11" s="10">
        <v>215000</v>
      </c>
      <c r="E11" s="10">
        <f>D11*LOAD_FACTOR/12</f>
        <v>22933.333333333332</v>
      </c>
    </row>
    <row r="12" spans="1:5">
      <c r="A12" t="s">
        <v>184</v>
      </c>
      <c r="B12" t="s">
        <v>185</v>
      </c>
      <c r="C12" t="s">
        <v>80</v>
      </c>
      <c r="D12" s="10">
        <v>115000</v>
      </c>
      <c r="E12" s="10">
        <f>D12*LOAD_FACTOR/12</f>
        <v>12266.666666666666</v>
      </c>
    </row>
    <row r="13" spans="1:5">
      <c r="A13" s="2" t="s">
        <v>186</v>
      </c>
      <c r="B13" s="6">
        <f>COUNTA(A5:A12)</f>
        <v>8</v>
      </c>
    </row>
    <row r="14" spans="1:5">
      <c r="A14" s="2" t="s">
        <v>187</v>
      </c>
      <c r="B14" s="10">
        <f>STAFF_NOW+B13</f>
        <v>25</v>
      </c>
    </row>
    <row r="16" spans="1:5">
      <c r="A16" s="3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cols>
    <col min="1" max="1" width="44.7109375" customWidth="1"/>
    <col min="2" max="10" width="16.7109375" customWidth="1"/>
  </cols>
  <sheetData>
    <row r="1" spans="1:10">
      <c r="A1" s="1" t="s">
        <v>188</v>
      </c>
    </row>
    <row r="3" spans="1:10">
      <c r="A3" s="2" t="s">
        <v>189</v>
      </c>
      <c r="B3" s="6">
        <f>COUNTIF(J9:J56,"&gt;0")</f>
        <v>37</v>
      </c>
    </row>
    <row r="4" spans="1:10">
      <c r="A4" s="2" t="s">
        <v>190</v>
      </c>
      <c r="B4" s="6">
        <f>AVERAGE(H9:H20)</f>
        <v>374461.8123726681</v>
      </c>
    </row>
    <row r="5" spans="1:10">
      <c r="A5" s="2" t="s">
        <v>23</v>
      </c>
      <c r="B5" s="6">
        <f>CASH_START</f>
        <v>1800000</v>
      </c>
    </row>
    <row r="7" spans="1:10">
      <c r="A7" s="4" t="s">
        <v>143</v>
      </c>
      <c r="B7" s="4" t="s">
        <v>191</v>
      </c>
      <c r="C7" s="4" t="s">
        <v>192</v>
      </c>
      <c r="D7" s="4" t="s">
        <v>95</v>
      </c>
      <c r="E7" s="4" t="s">
        <v>116</v>
      </c>
      <c r="F7" s="4" t="s">
        <v>193</v>
      </c>
      <c r="G7" s="4" t="s">
        <v>109</v>
      </c>
      <c r="H7" s="4" t="s">
        <v>194</v>
      </c>
      <c r="I7" s="4" t="s">
        <v>195</v>
      </c>
      <c r="J7" s="4" t="s">
        <v>196</v>
      </c>
    </row>
    <row r="8" spans="1:10">
      <c r="A8" t="s">
        <v>75</v>
      </c>
      <c r="B8" s="10">
        <v>0</v>
      </c>
      <c r="J8" s="10">
        <f>CASH_START</f>
        <v>1800000</v>
      </c>
    </row>
    <row r="9" spans="1:10">
      <c r="A9" t="s">
        <v>76</v>
      </c>
      <c r="B9" s="10">
        <v>1</v>
      </c>
      <c r="C9" s="10">
        <v>193274.865</v>
      </c>
      <c r="D9" s="10">
        <v>38654.973</v>
      </c>
      <c r="E9" s="10">
        <v>289066.6666666667</v>
      </c>
      <c r="F9" s="10">
        <v>80541.29000000001</v>
      </c>
      <c r="G9" s="10">
        <v>0</v>
      </c>
      <c r="H9" s="10">
        <f>D9+E9+F9+G9-C9</f>
        <v>214988.06466666667</v>
      </c>
      <c r="I9" s="10">
        <v>0</v>
      </c>
      <c r="J9" s="10">
        <f>J8+I9-H9</f>
        <v>1585011.9353333334</v>
      </c>
    </row>
    <row r="10" spans="1:10">
      <c r="A10" t="s">
        <v>78</v>
      </c>
      <c r="B10" s="10">
        <v>2</v>
      </c>
      <c r="C10" s="10">
        <v>200039.485275</v>
      </c>
      <c r="D10" s="10">
        <v>40007.89705499999</v>
      </c>
      <c r="E10" s="10">
        <v>324266.6666666667</v>
      </c>
      <c r="F10" s="10">
        <v>80541.29000000001</v>
      </c>
      <c r="G10" s="10">
        <v>0</v>
      </c>
      <c r="H10" s="10">
        <f>D10+E10+F10+G10-C10</f>
        <v>244776.3684466667</v>
      </c>
      <c r="I10" s="10">
        <v>0</v>
      </c>
      <c r="J10" s="10">
        <f>J9+I10-H10</f>
        <v>1340235.5668866667</v>
      </c>
    </row>
    <row r="11" spans="1:10">
      <c r="A11" t="s">
        <v>79</v>
      </c>
      <c r="B11" s="10">
        <v>3</v>
      </c>
      <c r="C11" s="10">
        <v>207040.867259625</v>
      </c>
      <c r="D11" s="10">
        <v>41408.17345192499</v>
      </c>
      <c r="E11" s="10">
        <v>359466.6666666667</v>
      </c>
      <c r="F11" s="10">
        <v>80541.29000000001</v>
      </c>
      <c r="G11" s="10">
        <v>0</v>
      </c>
      <c r="H11" s="10">
        <f>D11+E11+F11+G11-C11</f>
        <v>274375.2628589667</v>
      </c>
      <c r="I11" s="10">
        <v>0</v>
      </c>
      <c r="J11" s="10">
        <f>J10+I11-H11</f>
        <v>1065860.3040276999</v>
      </c>
    </row>
    <row r="12" spans="1:10">
      <c r="A12" t="s">
        <v>80</v>
      </c>
      <c r="B12" s="10">
        <v>4</v>
      </c>
      <c r="C12" s="10">
        <v>214287.2976137118</v>
      </c>
      <c r="D12" s="10">
        <v>42857.45952274236</v>
      </c>
      <c r="E12" s="10">
        <v>394666.6666666667</v>
      </c>
      <c r="F12" s="10">
        <v>80541.29000000001</v>
      </c>
      <c r="G12" s="10">
        <v>140000</v>
      </c>
      <c r="H12" s="10">
        <f>D12+E12+F12+G12-C12</f>
        <v>443778.1185756972</v>
      </c>
      <c r="I12" s="10">
        <v>9000000</v>
      </c>
      <c r="J12" s="10">
        <f>J11+I12-H12</f>
        <v>9622082.185452001</v>
      </c>
    </row>
    <row r="13" spans="1:10">
      <c r="A13" t="s">
        <v>81</v>
      </c>
      <c r="B13" s="10">
        <v>5</v>
      </c>
      <c r="C13" s="10">
        <v>221787.3530301917</v>
      </c>
      <c r="D13" s="10">
        <v>44357.47060603835</v>
      </c>
      <c r="E13" s="10">
        <v>394666.6666666667</v>
      </c>
      <c r="F13" s="10">
        <v>80541.29000000001</v>
      </c>
      <c r="G13" s="10">
        <v>140000</v>
      </c>
      <c r="H13" s="10">
        <f>D13+E13+F13+G13-C13</f>
        <v>437778.0742425133</v>
      </c>
      <c r="I13" s="10">
        <v>0</v>
      </c>
      <c r="J13" s="10">
        <f>J12+I13-H13</f>
        <v>9184304.111209488</v>
      </c>
    </row>
    <row r="14" spans="1:10">
      <c r="A14" t="s">
        <v>82</v>
      </c>
      <c r="B14" s="10">
        <v>6</v>
      </c>
      <c r="C14" s="10">
        <v>229549.9103862484</v>
      </c>
      <c r="D14" s="10">
        <v>45909.98207724969</v>
      </c>
      <c r="E14" s="10">
        <v>394666.6666666667</v>
      </c>
      <c r="F14" s="10">
        <v>80541.29000000001</v>
      </c>
      <c r="G14" s="10">
        <v>140000</v>
      </c>
      <c r="H14" s="10">
        <f>D14+E14+F14+G14-C14</f>
        <v>431568.0283576679</v>
      </c>
      <c r="I14" s="10">
        <v>0</v>
      </c>
      <c r="J14" s="10">
        <f>J13+I14-H14</f>
        <v>8752736.08285182</v>
      </c>
    </row>
    <row r="15" spans="1:10">
      <c r="A15" t="s">
        <v>83</v>
      </c>
      <c r="B15" s="10">
        <v>7</v>
      </c>
      <c r="C15" s="10">
        <v>237584.1572497671</v>
      </c>
      <c r="D15" s="10">
        <v>47516.83144995342</v>
      </c>
      <c r="E15" s="10">
        <v>394666.6666666667</v>
      </c>
      <c r="F15" s="10">
        <v>80541.29000000001</v>
      </c>
      <c r="G15" s="10">
        <v>140000</v>
      </c>
      <c r="H15" s="10">
        <f>D15+E15+F15+G15-C15</f>
        <v>425140.63086685294</v>
      </c>
      <c r="I15" s="10">
        <v>0</v>
      </c>
      <c r="J15" s="10">
        <f>J14+I15-H15</f>
        <v>8327595.451984967</v>
      </c>
    </row>
    <row r="16" spans="1:10">
      <c r="A16" t="s">
        <v>84</v>
      </c>
      <c r="B16" s="10">
        <v>8</v>
      </c>
      <c r="C16" s="10">
        <v>245899.6027535089</v>
      </c>
      <c r="D16" s="10">
        <v>49179.92055070178</v>
      </c>
      <c r="E16" s="10">
        <v>394666.6666666667</v>
      </c>
      <c r="F16" s="10">
        <v>80541.29000000001</v>
      </c>
      <c r="G16" s="10">
        <v>140000</v>
      </c>
      <c r="H16" s="10">
        <f>D16+E16+F16+G16-C16</f>
        <v>418488.2744638595</v>
      </c>
      <c r="I16" s="10">
        <v>0</v>
      </c>
      <c r="J16" s="10">
        <f>J15+I16-H16</f>
        <v>7909107.177521108</v>
      </c>
    </row>
    <row r="17" spans="1:10">
      <c r="A17" t="s">
        <v>85</v>
      </c>
      <c r="B17" s="10">
        <v>9</v>
      </c>
      <c r="C17" s="10">
        <v>254506.0888498817</v>
      </c>
      <c r="D17" s="10">
        <v>50901.21776997635</v>
      </c>
      <c r="E17" s="10">
        <v>394666.6666666667</v>
      </c>
      <c r="F17" s="10">
        <v>80541.29000000001</v>
      </c>
      <c r="G17" s="10">
        <v>140000</v>
      </c>
      <c r="H17" s="10">
        <f>D17+E17+F17+G17-C17</f>
        <v>411603.0855867613</v>
      </c>
      <c r="I17" s="10">
        <v>0</v>
      </c>
      <c r="J17" s="10">
        <f>J16+I17-H17</f>
        <v>7497504.091934347</v>
      </c>
    </row>
    <row r="18" spans="1:10">
      <c r="A18" t="s">
        <v>86</v>
      </c>
      <c r="B18" s="10">
        <v>10</v>
      </c>
      <c r="C18" s="10">
        <v>263413.8019596275</v>
      </c>
      <c r="D18" s="10">
        <v>52682.76039192551</v>
      </c>
      <c r="E18" s="10">
        <v>394666.6666666667</v>
      </c>
      <c r="F18" s="10">
        <v>80541.29000000001</v>
      </c>
      <c r="G18" s="10">
        <v>140000</v>
      </c>
      <c r="H18" s="10">
        <f>D18+E18+F18+G18-C18</f>
        <v>404476.9150989646</v>
      </c>
      <c r="I18" s="10">
        <v>0</v>
      </c>
      <c r="J18" s="10">
        <f>J17+I18-H18</f>
        <v>7093027.176835382</v>
      </c>
    </row>
    <row r="19" spans="1:10">
      <c r="A19" t="s">
        <v>87</v>
      </c>
      <c r="B19" s="10">
        <v>11</v>
      </c>
      <c r="C19" s="10">
        <v>272633.2850282145</v>
      </c>
      <c r="D19" s="10">
        <v>54526.6570056429</v>
      </c>
      <c r="E19" s="10">
        <v>394666.6666666667</v>
      </c>
      <c r="F19" s="10">
        <v>80541.29000000001</v>
      </c>
      <c r="G19" s="10">
        <v>140000</v>
      </c>
      <c r="H19" s="10">
        <f>D19+E19+F19+G19-C19</f>
        <v>397101.32864409505</v>
      </c>
      <c r="I19" s="10">
        <v>0</v>
      </c>
      <c r="J19" s="10">
        <f>J18+I19-H19</f>
        <v>6695925.848191287</v>
      </c>
    </row>
    <row r="20" spans="1:10">
      <c r="A20" t="s">
        <v>88</v>
      </c>
      <c r="B20" s="10">
        <v>12</v>
      </c>
      <c r="C20" s="10">
        <v>282175.450004202</v>
      </c>
      <c r="D20" s="10">
        <v>56435.0900008404</v>
      </c>
      <c r="E20" s="10">
        <v>394666.6666666667</v>
      </c>
      <c r="F20" s="10">
        <v>80541.29000000001</v>
      </c>
      <c r="G20" s="10">
        <v>140000</v>
      </c>
      <c r="H20" s="10">
        <f>D20+E20+F20+G20-C20</f>
        <v>389467.596663305</v>
      </c>
      <c r="I20" s="10">
        <v>0</v>
      </c>
      <c r="J20" s="10">
        <f>J19+I20-H20</f>
        <v>6306458.251527983</v>
      </c>
    </row>
    <row r="21" spans="1:10">
      <c r="A21" t="s">
        <v>197</v>
      </c>
      <c r="B21" s="10">
        <v>13</v>
      </c>
      <c r="C21" s="10">
        <v>292051.5907543491</v>
      </c>
      <c r="D21" s="10">
        <v>58410.31815086982</v>
      </c>
      <c r="E21" s="10">
        <v>394666.6666666667</v>
      </c>
      <c r="F21" s="10">
        <v>80541.29000000001</v>
      </c>
      <c r="G21" s="10">
        <v>140000</v>
      </c>
      <c r="H21" s="10">
        <f>D21+E21+F21+G21-C21</f>
        <v>381566.6840631874</v>
      </c>
      <c r="I21" s="10">
        <v>0</v>
      </c>
      <c r="J21" s="10">
        <f>J20+I21-H21</f>
        <v>5924891.567464795</v>
      </c>
    </row>
    <row r="22" spans="1:10">
      <c r="A22" t="s">
        <v>198</v>
      </c>
      <c r="B22" s="10">
        <v>14</v>
      </c>
      <c r="C22" s="10">
        <v>302273.3964307513</v>
      </c>
      <c r="D22" s="10">
        <v>60454.67928615025</v>
      </c>
      <c r="E22" s="10">
        <v>394666.6666666667</v>
      </c>
      <c r="F22" s="10">
        <v>80541.29000000001</v>
      </c>
      <c r="G22" s="10">
        <v>140000</v>
      </c>
      <c r="H22" s="10">
        <f>D22+E22+F22+G22-C22</f>
        <v>373389.2395220657</v>
      </c>
      <c r="I22" s="10">
        <v>0</v>
      </c>
      <c r="J22" s="10">
        <f>J21+I22-H22</f>
        <v>5551502.327942729</v>
      </c>
    </row>
    <row r="23" spans="1:10">
      <c r="A23" t="s">
        <v>199</v>
      </c>
      <c r="B23" s="10">
        <v>15</v>
      </c>
      <c r="C23" s="10">
        <v>312852.9653058275</v>
      </c>
      <c r="D23" s="10">
        <v>62570.5930611655</v>
      </c>
      <c r="E23" s="10">
        <v>394666.6666666667</v>
      </c>
      <c r="F23" s="10">
        <v>80541.29000000001</v>
      </c>
      <c r="G23" s="10">
        <v>140000</v>
      </c>
      <c r="H23" s="10">
        <f>D23+E23+F23+G23-C23</f>
        <v>364925.5844220047</v>
      </c>
      <c r="I23" s="10">
        <v>0</v>
      </c>
      <c r="J23" s="10">
        <f>J22+I23-H23</f>
        <v>5186576.743520725</v>
      </c>
    </row>
    <row r="24" spans="1:10">
      <c r="A24" t="s">
        <v>200</v>
      </c>
      <c r="B24" s="10">
        <v>16</v>
      </c>
      <c r="C24" s="10">
        <v>323802.8190915314</v>
      </c>
      <c r="D24" s="10">
        <v>64760.56381830628</v>
      </c>
      <c r="E24" s="10">
        <v>394666.6666666667</v>
      </c>
      <c r="F24" s="10">
        <v>80541.29000000001</v>
      </c>
      <c r="G24" s="10">
        <v>140000</v>
      </c>
      <c r="H24" s="10">
        <f>D24+E24+F24+G24-C24</f>
        <v>356165.70139344153</v>
      </c>
      <c r="I24" s="10">
        <v>0</v>
      </c>
      <c r="J24" s="10">
        <f>J23+I24-H24</f>
        <v>4830411.042127283</v>
      </c>
    </row>
    <row r="25" spans="1:10">
      <c r="A25" t="s">
        <v>201</v>
      </c>
      <c r="B25" s="10">
        <v>17</v>
      </c>
      <c r="C25" s="10">
        <v>335135.917759735</v>
      </c>
      <c r="D25" s="10">
        <v>67027.183551947</v>
      </c>
      <c r="E25" s="10">
        <v>394666.6666666667</v>
      </c>
      <c r="F25" s="10">
        <v>80541.29000000001</v>
      </c>
      <c r="G25" s="10">
        <v>140000</v>
      </c>
      <c r="H25" s="10">
        <f>D25+E25+F25+G25-C25</f>
        <v>347099.22245887865</v>
      </c>
      <c r="I25" s="10">
        <v>0</v>
      </c>
      <c r="J25" s="10">
        <f>J24+I25-H25</f>
        <v>4483311.819668405</v>
      </c>
    </row>
    <row r="26" spans="1:10">
      <c r="A26" t="s">
        <v>202</v>
      </c>
      <c r="B26" s="10">
        <v>18</v>
      </c>
      <c r="C26" s="10">
        <v>346865.6748813257</v>
      </c>
      <c r="D26" s="10">
        <v>69373.13497626515</v>
      </c>
      <c r="E26" s="10">
        <v>394666.6666666667</v>
      </c>
      <c r="F26" s="10">
        <v>80541.29000000001</v>
      </c>
      <c r="G26" s="10">
        <v>140000</v>
      </c>
      <c r="H26" s="10">
        <f>D26+E26+F26+G26-C26</f>
        <v>337715.41676160606</v>
      </c>
      <c r="I26" s="10">
        <v>0</v>
      </c>
      <c r="J26" s="10">
        <f>J25+I26-H26</f>
        <v>4145596.4029067988</v>
      </c>
    </row>
    <row r="27" spans="1:10">
      <c r="A27" t="s">
        <v>203</v>
      </c>
      <c r="B27" s="10">
        <v>19</v>
      </c>
      <c r="C27" s="10">
        <v>359005.9735021721</v>
      </c>
      <c r="D27" s="10">
        <v>71801.19470043443</v>
      </c>
      <c r="E27" s="10">
        <v>394666.6666666667</v>
      </c>
      <c r="F27" s="10">
        <v>80541.29000000001</v>
      </c>
      <c r="G27" s="10">
        <v>140000</v>
      </c>
      <c r="H27" s="10">
        <f>D27+E27+F27+G27-C27</f>
        <v>328003.177864929</v>
      </c>
      <c r="I27" s="10">
        <v>0</v>
      </c>
      <c r="J27" s="10">
        <f>J26+I27-H27</f>
        <v>3817593.2250418696</v>
      </c>
    </row>
    <row r="28" spans="1:10">
      <c r="A28" t="s">
        <v>204</v>
      </c>
      <c r="B28" s="10">
        <v>20</v>
      </c>
      <c r="C28" s="10">
        <v>371571.1825747481</v>
      </c>
      <c r="D28" s="10">
        <v>74314.23651494962</v>
      </c>
      <c r="E28" s="10">
        <v>394666.6666666667</v>
      </c>
      <c r="F28" s="10">
        <v>80541.29000000001</v>
      </c>
      <c r="G28" s="10">
        <v>140000</v>
      </c>
      <c r="H28" s="10">
        <f>D28+E28+F28+G28-C28</f>
        <v>317951.01060686813</v>
      </c>
      <c r="I28" s="10">
        <v>0</v>
      </c>
      <c r="J28" s="10">
        <f>J27+I28-H28</f>
        <v>3499642.2144350014</v>
      </c>
    </row>
    <row r="29" spans="1:10">
      <c r="A29" t="s">
        <v>205</v>
      </c>
      <c r="B29" s="10">
        <v>21</v>
      </c>
      <c r="C29" s="10">
        <v>384576.1739648643</v>
      </c>
      <c r="D29" s="10">
        <v>76915.23479297286</v>
      </c>
      <c r="E29" s="10">
        <v>394666.6666666667</v>
      </c>
      <c r="F29" s="10">
        <v>80541.29000000001</v>
      </c>
      <c r="G29" s="10">
        <v>140000</v>
      </c>
      <c r="H29" s="10">
        <f>D29+E29+F29+G29-C29</f>
        <v>307547.0174947752</v>
      </c>
      <c r="I29" s="10">
        <v>0</v>
      </c>
      <c r="J29" s="10">
        <f>J28+I29-H29</f>
        <v>3192095.196940226</v>
      </c>
    </row>
    <row r="30" spans="1:10">
      <c r="A30" t="s">
        <v>206</v>
      </c>
      <c r="B30" s="10">
        <v>22</v>
      </c>
      <c r="C30" s="10">
        <v>398036.3400536345</v>
      </c>
      <c r="D30" s="10">
        <v>79607.2680107269</v>
      </c>
      <c r="E30" s="10">
        <v>394666.6666666667</v>
      </c>
      <c r="F30" s="10">
        <v>80541.29000000001</v>
      </c>
      <c r="G30" s="10">
        <v>140000</v>
      </c>
      <c r="H30" s="10">
        <f>D30+E30+F30+G30-C30</f>
        <v>296778.8846237591</v>
      </c>
      <c r="I30" s="10">
        <v>0</v>
      </c>
      <c r="J30" s="10">
        <f>J29+I30-H30</f>
        <v>2895316.312316467</v>
      </c>
    </row>
    <row r="31" spans="1:10">
      <c r="A31" t="s">
        <v>207</v>
      </c>
      <c r="B31" s="10">
        <v>23</v>
      </c>
      <c r="C31" s="10">
        <v>411967.6119555117</v>
      </c>
      <c r="D31" s="10">
        <v>82393.52239110233</v>
      </c>
      <c r="E31" s="10">
        <v>394666.6666666667</v>
      </c>
      <c r="F31" s="10">
        <v>80541.29000000001</v>
      </c>
      <c r="G31" s="10">
        <v>140000</v>
      </c>
      <c r="H31" s="10">
        <f>D31+E31+F31+G31-C31</f>
        <v>285633.8671022574</v>
      </c>
      <c r="I31" s="10">
        <v>0</v>
      </c>
      <c r="J31" s="10">
        <f>J30+I31-H31</f>
        <v>2609682.4452142096</v>
      </c>
    </row>
    <row r="32" spans="1:10">
      <c r="A32" t="s">
        <v>208</v>
      </c>
      <c r="B32" s="10">
        <v>24</v>
      </c>
      <c r="C32" s="10">
        <v>426386.4783739545</v>
      </c>
      <c r="D32" s="10">
        <v>85277.2956747909</v>
      </c>
      <c r="E32" s="10">
        <v>394666.6666666667</v>
      </c>
      <c r="F32" s="10">
        <v>80541.29000000001</v>
      </c>
      <c r="G32" s="10">
        <v>140000</v>
      </c>
      <c r="H32" s="10">
        <f>D32+E32+F32+G32-C32</f>
        <v>274098.773967503</v>
      </c>
      <c r="I32" s="10">
        <v>0</v>
      </c>
      <c r="J32" s="10">
        <f>J31+I32-H32</f>
        <v>2335583.6712467065</v>
      </c>
    </row>
    <row r="33" spans="1:10">
      <c r="A33" t="s">
        <v>209</v>
      </c>
      <c r="B33" s="10">
        <v>25</v>
      </c>
      <c r="C33" s="10">
        <v>441310.0051170429</v>
      </c>
      <c r="D33" s="10">
        <v>88262.00102340859</v>
      </c>
      <c r="E33" s="10">
        <v>394666.6666666667</v>
      </c>
      <c r="F33" s="10">
        <v>80541.29000000001</v>
      </c>
      <c r="G33" s="10">
        <v>140000</v>
      </c>
      <c r="H33" s="10">
        <f>D33+E33+F33+G33-C33</f>
        <v>262159.95257303235</v>
      </c>
      <c r="I33" s="10">
        <v>0</v>
      </c>
      <c r="J33" s="10">
        <f>J32+I33-H33</f>
        <v>2073423.7186736742</v>
      </c>
    </row>
    <row r="34" spans="1:10">
      <c r="A34" t="s">
        <v>210</v>
      </c>
      <c r="B34" s="10">
        <v>26</v>
      </c>
      <c r="C34" s="10">
        <v>456755.8552961394</v>
      </c>
      <c r="D34" s="10">
        <v>91351.17105922788</v>
      </c>
      <c r="E34" s="10">
        <v>394666.6666666667</v>
      </c>
      <c r="F34" s="10">
        <v>80541.29000000001</v>
      </c>
      <c r="G34" s="10">
        <v>140000</v>
      </c>
      <c r="H34" s="10">
        <f>D34+E34+F34+G34-C34</f>
        <v>249803.2724297552</v>
      </c>
      <c r="I34" s="10">
        <v>0</v>
      </c>
      <c r="J34" s="10">
        <f>J33+I34-H34</f>
        <v>1823620.446243919</v>
      </c>
    </row>
    <row r="35" spans="1:10">
      <c r="A35" t="s">
        <v>211</v>
      </c>
      <c r="B35" s="10">
        <v>27</v>
      </c>
      <c r="C35" s="10">
        <v>472742.3102315042</v>
      </c>
      <c r="D35" s="10">
        <v>94548.46204630085</v>
      </c>
      <c r="E35" s="10">
        <v>394666.6666666667</v>
      </c>
      <c r="F35" s="10">
        <v>80541.29000000001</v>
      </c>
      <c r="G35" s="10">
        <v>140000</v>
      </c>
      <c r="H35" s="10">
        <f>D35+E35+F35+G35-C35</f>
        <v>237014.10848146334</v>
      </c>
      <c r="I35" s="10">
        <v>0</v>
      </c>
      <c r="J35" s="10">
        <f>J34+I35-H35</f>
        <v>1586606.3377624557</v>
      </c>
    </row>
    <row r="36" spans="1:10">
      <c r="A36" t="s">
        <v>212</v>
      </c>
      <c r="B36" s="10">
        <v>28</v>
      </c>
      <c r="C36" s="10">
        <v>489288.2910896068</v>
      </c>
      <c r="D36" s="10">
        <v>97857.65821792137</v>
      </c>
      <c r="E36" s="10">
        <v>394666.6666666667</v>
      </c>
      <c r="F36" s="10">
        <v>80541.29000000001</v>
      </c>
      <c r="G36" s="10">
        <v>140000</v>
      </c>
      <c r="H36" s="10">
        <f>D36+E36+F36+G36-C36</f>
        <v>223777.32379498123</v>
      </c>
      <c r="I36" s="10">
        <v>0</v>
      </c>
      <c r="J36" s="10">
        <f>J35+I36-H36</f>
        <v>1362829.0139674745</v>
      </c>
    </row>
    <row r="37" spans="1:10">
      <c r="A37" t="s">
        <v>213</v>
      </c>
      <c r="B37" s="10">
        <v>29</v>
      </c>
      <c r="C37" s="10">
        <v>506413.381277743</v>
      </c>
      <c r="D37" s="10">
        <v>101282.6762555486</v>
      </c>
      <c r="E37" s="10">
        <v>394666.6666666667</v>
      </c>
      <c r="F37" s="10">
        <v>80541.29000000001</v>
      </c>
      <c r="G37" s="10">
        <v>140000</v>
      </c>
      <c r="H37" s="10">
        <f>D37+E37+F37+G37-C37</f>
        <v>210077.25164447224</v>
      </c>
      <c r="I37" s="10">
        <v>0</v>
      </c>
      <c r="J37" s="10">
        <f>J36+I37-H37</f>
        <v>1152751.7623230023</v>
      </c>
    </row>
    <row r="38" spans="1:10">
      <c r="A38" t="s">
        <v>214</v>
      </c>
      <c r="B38" s="10">
        <v>30</v>
      </c>
      <c r="C38" s="10">
        <v>524137.849622464</v>
      </c>
      <c r="D38" s="10">
        <v>104827.5699244928</v>
      </c>
      <c r="E38" s="10">
        <v>394666.6666666667</v>
      </c>
      <c r="F38" s="10">
        <v>80541.29000000001</v>
      </c>
      <c r="G38" s="10">
        <v>140000</v>
      </c>
      <c r="H38" s="10">
        <f>D38+E38+F38+G38-C38</f>
        <v>195897.67696869542</v>
      </c>
      <c r="I38" s="10">
        <v>0</v>
      </c>
      <c r="J38" s="10">
        <f>J37+I38-H38</f>
        <v>956854.085354307</v>
      </c>
    </row>
    <row r="39" spans="1:10">
      <c r="A39" t="s">
        <v>215</v>
      </c>
      <c r="B39" s="10">
        <v>31</v>
      </c>
      <c r="C39" s="10">
        <v>542482.6743592502</v>
      </c>
      <c r="D39" s="10">
        <v>108496.53487185</v>
      </c>
      <c r="E39" s="10">
        <v>394666.6666666667</v>
      </c>
      <c r="F39" s="10">
        <v>80541.29000000001</v>
      </c>
      <c r="G39" s="10">
        <v>140000</v>
      </c>
      <c r="H39" s="10">
        <f>D39+E39+F39+G39-C39</f>
        <v>181221.81717926648</v>
      </c>
      <c r="I39" s="10">
        <v>0</v>
      </c>
      <c r="J39" s="10">
        <f>J38+I39-H39</f>
        <v>775632.2681750405</v>
      </c>
    </row>
    <row r="40" spans="1:10">
      <c r="A40" t="s">
        <v>216</v>
      </c>
      <c r="B40" s="10">
        <v>32</v>
      </c>
      <c r="C40" s="10">
        <v>561469.5679618239</v>
      </c>
      <c r="D40" s="10">
        <v>112293.9135923648</v>
      </c>
      <c r="E40" s="10">
        <v>394666.6666666667</v>
      </c>
      <c r="F40" s="10">
        <v>80541.29000000001</v>
      </c>
      <c r="G40" s="10">
        <v>140000</v>
      </c>
      <c r="H40" s="10">
        <f>D40+E40+F40+G40-C40</f>
        <v>166032.30229720753</v>
      </c>
      <c r="I40" s="10">
        <v>0</v>
      </c>
      <c r="J40" s="10">
        <f>J39+I40-H40</f>
        <v>609599.965877833</v>
      </c>
    </row>
    <row r="41" spans="1:10">
      <c r="A41" t="s">
        <v>217</v>
      </c>
      <c r="B41" s="10">
        <v>33</v>
      </c>
      <c r="C41" s="10">
        <v>581121.0028404876</v>
      </c>
      <c r="D41" s="10">
        <v>116224.2005680975</v>
      </c>
      <c r="E41" s="10">
        <v>394666.6666666667</v>
      </c>
      <c r="F41" s="10">
        <v>80541.29000000001</v>
      </c>
      <c r="G41" s="10">
        <v>140000</v>
      </c>
      <c r="H41" s="10">
        <f>D41+E41+F41+G41-C41</f>
        <v>150311.15439427656</v>
      </c>
      <c r="I41" s="10">
        <v>0</v>
      </c>
      <c r="J41" s="10">
        <f>J40+I41-H41</f>
        <v>459288.8114835564</v>
      </c>
    </row>
    <row r="42" spans="1:10">
      <c r="A42" t="s">
        <v>218</v>
      </c>
      <c r="B42" s="10">
        <v>34</v>
      </c>
      <c r="C42" s="10">
        <v>601460.2379399047</v>
      </c>
      <c r="D42" s="10">
        <v>120292.0475879809</v>
      </c>
      <c r="E42" s="10">
        <v>394666.6666666667</v>
      </c>
      <c r="F42" s="10">
        <v>80541.29000000001</v>
      </c>
      <c r="G42" s="10">
        <v>140000</v>
      </c>
      <c r="H42" s="10">
        <f>D42+E42+F42+G42-C42</f>
        <v>134039.76631474285</v>
      </c>
      <c r="I42" s="10">
        <v>0</v>
      </c>
      <c r="J42" s="10">
        <f>J41+I42-H42</f>
        <v>325249.04516881355</v>
      </c>
    </row>
    <row r="43" spans="1:10">
      <c r="A43" t="s">
        <v>219</v>
      </c>
      <c r="B43" s="10">
        <v>35</v>
      </c>
      <c r="C43" s="10">
        <v>622511.3462678012</v>
      </c>
      <c r="D43" s="10">
        <v>124502.2692535603</v>
      </c>
      <c r="E43" s="10">
        <v>394666.6666666667</v>
      </c>
      <c r="F43" s="10">
        <v>80541.29000000001</v>
      </c>
      <c r="G43" s="10">
        <v>140000</v>
      </c>
      <c r="H43" s="10">
        <f>D43+E43+F43+G43-C43</f>
        <v>117198.87965242565</v>
      </c>
      <c r="I43" s="10">
        <v>0</v>
      </c>
      <c r="J43" s="10">
        <f>J42+I43-H43</f>
        <v>208050.1655163879</v>
      </c>
    </row>
    <row r="44" spans="1:10">
      <c r="A44" t="s">
        <v>220</v>
      </c>
      <c r="B44" s="10">
        <v>36</v>
      </c>
      <c r="C44" s="10">
        <v>644299.2433871742</v>
      </c>
      <c r="D44" s="10">
        <v>128859.8486774348</v>
      </c>
      <c r="E44" s="10">
        <v>394666.6666666667</v>
      </c>
      <c r="F44" s="10">
        <v>80541.29000000001</v>
      </c>
      <c r="G44" s="10">
        <v>140000</v>
      </c>
      <c r="H44" s="10">
        <f>D44+E44+F44+G44-C44</f>
        <v>99768.5619569273</v>
      </c>
      <c r="I44" s="10">
        <v>0</v>
      </c>
      <c r="J44" s="10">
        <f>J43+I44-H44</f>
        <v>108281.60355946061</v>
      </c>
    </row>
    <row r="45" spans="1:10">
      <c r="A45" t="s">
        <v>221</v>
      </c>
      <c r="B45" s="10">
        <v>37</v>
      </c>
      <c r="C45" s="10">
        <v>666849.7169057253</v>
      </c>
      <c r="D45" s="10">
        <v>133369.9433811451</v>
      </c>
      <c r="E45" s="10">
        <v>394666.6666666667</v>
      </c>
      <c r="F45" s="10">
        <v>80541.29000000001</v>
      </c>
      <c r="G45" s="10">
        <v>140000</v>
      </c>
      <c r="H45" s="10">
        <f>D45+E45+F45+G45-C45</f>
        <v>81728.18314208637</v>
      </c>
      <c r="I45" s="10">
        <v>0</v>
      </c>
      <c r="J45" s="10">
        <f>J44+I45-H45</f>
        <v>26553.420417374233</v>
      </c>
    </row>
    <row r="46" spans="1:10">
      <c r="A46" t="s">
        <v>222</v>
      </c>
      <c r="B46" s="10">
        <v>38</v>
      </c>
      <c r="C46" s="10">
        <v>690189.4569974256</v>
      </c>
      <c r="D46" s="10">
        <v>138037.8913994851</v>
      </c>
      <c r="E46" s="10">
        <v>394666.6666666667</v>
      </c>
      <c r="F46" s="10">
        <v>80541.29000000001</v>
      </c>
      <c r="G46" s="10">
        <v>140000</v>
      </c>
      <c r="H46" s="10">
        <f>D46+E46+F46+G46-C46</f>
        <v>63056.391068726196</v>
      </c>
      <c r="I46" s="10">
        <v>0</v>
      </c>
      <c r="J46" s="10">
        <f>J45+I46-H46</f>
        <v>-36502.97065135196</v>
      </c>
    </row>
    <row r="47" spans="1:10">
      <c r="A47" t="s">
        <v>223</v>
      </c>
      <c r="B47" s="10">
        <v>39</v>
      </c>
      <c r="C47" s="10">
        <v>714346.0879923354</v>
      </c>
      <c r="D47" s="10">
        <v>142869.2175984671</v>
      </c>
      <c r="E47" s="10">
        <v>394666.6666666667</v>
      </c>
      <c r="F47" s="10">
        <v>80541.29000000001</v>
      </c>
      <c r="G47" s="10">
        <v>140000</v>
      </c>
      <c r="H47" s="10">
        <f>D47+E47+F47+G47-C47</f>
        <v>43731.086272798246</v>
      </c>
      <c r="I47" s="10">
        <v>0</v>
      </c>
      <c r="J47" s="10">
        <f>J46+I47-H47</f>
        <v>-80234.05692415021</v>
      </c>
    </row>
    <row r="48" spans="1:10">
      <c r="A48" t="s">
        <v>224</v>
      </c>
      <c r="B48" s="10">
        <v>40</v>
      </c>
      <c r="C48" s="10">
        <v>739348.2010720671</v>
      </c>
      <c r="D48" s="10">
        <v>147869.6402144134</v>
      </c>
      <c r="E48" s="10">
        <v>394666.6666666667</v>
      </c>
      <c r="F48" s="10">
        <v>80541.29000000001</v>
      </c>
      <c r="G48" s="10">
        <v>140000</v>
      </c>
      <c r="H48" s="10">
        <f>D48+E48+F48+G48-C48</f>
        <v>23729.39580901293</v>
      </c>
      <c r="I48" s="10">
        <v>0</v>
      </c>
      <c r="J48" s="10">
        <f>J47+I48-H48</f>
        <v>-103963.45273316314</v>
      </c>
    </row>
    <row r="49" spans="1:10">
      <c r="A49" t="s">
        <v>225</v>
      </c>
      <c r="B49" s="10">
        <v>41</v>
      </c>
      <c r="C49" s="10">
        <v>765225.3881095895</v>
      </c>
      <c r="D49" s="10">
        <v>153045.0776219179</v>
      </c>
      <c r="E49" s="10">
        <v>394666.6666666667</v>
      </c>
      <c r="F49" s="10">
        <v>80541.29000000001</v>
      </c>
      <c r="G49" s="10">
        <v>140000</v>
      </c>
      <c r="H49" s="10">
        <f>D49+E49+F49+G49-C49</f>
        <v>3027.6461789950263</v>
      </c>
      <c r="I49" s="10">
        <v>0</v>
      </c>
      <c r="J49" s="10">
        <f>J48+I49-H49</f>
        <v>-106991.09891215817</v>
      </c>
    </row>
    <row r="50" spans="1:10">
      <c r="A50" t="s">
        <v>226</v>
      </c>
      <c r="B50" s="10">
        <v>42</v>
      </c>
      <c r="C50" s="10">
        <v>792008.276693425</v>
      </c>
      <c r="D50" s="10">
        <v>158401.655338685</v>
      </c>
      <c r="E50" s="10">
        <v>394666.6666666667</v>
      </c>
      <c r="F50" s="10">
        <v>80541.29000000001</v>
      </c>
      <c r="G50" s="10">
        <v>140000</v>
      </c>
      <c r="H50" s="10">
        <f>D50+E50+F50+G50-C50</f>
        <v>-18398.66468807333</v>
      </c>
      <c r="I50" s="10">
        <v>0</v>
      </c>
      <c r="J50" s="10">
        <f>J49+I50-H50</f>
        <v>-88592.43422408483</v>
      </c>
    </row>
    <row r="51" spans="1:10">
      <c r="A51" t="s">
        <v>227</v>
      </c>
      <c r="B51" s="10">
        <v>43</v>
      </c>
      <c r="C51" s="10">
        <v>819728.5663776948</v>
      </c>
      <c r="D51" s="10">
        <v>163945.713275539</v>
      </c>
      <c r="E51" s="10">
        <v>394666.6666666667</v>
      </c>
      <c r="F51" s="10">
        <v>80541.29000000001</v>
      </c>
      <c r="G51" s="10">
        <v>140000</v>
      </c>
      <c r="H51" s="10">
        <f>D51+E51+F51+G51-C51</f>
        <v>-40574.89643548918</v>
      </c>
      <c r="I51" s="10">
        <v>0</v>
      </c>
      <c r="J51" s="10">
        <f>J50+I51-H51</f>
        <v>-48017.537788595655</v>
      </c>
    </row>
    <row r="52" spans="1:10">
      <c r="A52" t="s">
        <v>228</v>
      </c>
      <c r="B52" s="10">
        <v>44</v>
      </c>
      <c r="C52" s="10">
        <v>848419.0662009141</v>
      </c>
      <c r="D52" s="10">
        <v>169683.8132401828</v>
      </c>
      <c r="E52" s="10">
        <v>394666.6666666667</v>
      </c>
      <c r="F52" s="10">
        <v>80541.29000000001</v>
      </c>
      <c r="G52" s="10">
        <v>140000</v>
      </c>
      <c r="H52" s="10">
        <f>D52+E52+F52+G52-C52</f>
        <v>-63527.29629406461</v>
      </c>
      <c r="I52" s="10">
        <v>0</v>
      </c>
      <c r="J52" s="10">
        <f>J51+I52-H52</f>
        <v>15509.758505468955</v>
      </c>
    </row>
    <row r="53" spans="1:10">
      <c r="A53" t="s">
        <v>229</v>
      </c>
      <c r="B53" s="10">
        <v>45</v>
      </c>
      <c r="C53" s="10">
        <v>878113.733517946</v>
      </c>
      <c r="D53" s="10">
        <v>175622.7467035892</v>
      </c>
      <c r="E53" s="10">
        <v>394666.6666666667</v>
      </c>
      <c r="F53" s="10">
        <v>80541.29000000001</v>
      </c>
      <c r="G53" s="10">
        <v>140000</v>
      </c>
      <c r="H53" s="10">
        <f>D53+E53+F53+G53-C53</f>
        <v>-87283.0301476901</v>
      </c>
      <c r="I53" s="10">
        <v>0</v>
      </c>
      <c r="J53" s="10">
        <f>J52+I53-H53</f>
        <v>102792.78865315905</v>
      </c>
    </row>
    <row r="54" spans="1:10">
      <c r="A54" t="s">
        <v>230</v>
      </c>
      <c r="B54" s="10">
        <v>46</v>
      </c>
      <c r="C54" s="10">
        <v>908847.714191074</v>
      </c>
      <c r="D54" s="10">
        <v>181769.5428382148</v>
      </c>
      <c r="E54" s="10">
        <v>394666.6666666667</v>
      </c>
      <c r="F54" s="10">
        <v>80541.29000000001</v>
      </c>
      <c r="G54" s="10">
        <v>140000</v>
      </c>
      <c r="H54" s="10">
        <f>D54+E54+F54+G54-C54</f>
        <v>-111870.21468619257</v>
      </c>
      <c r="I54" s="10">
        <v>0</v>
      </c>
      <c r="J54" s="10">
        <f>J53+I54-H54</f>
        <v>214663.00333935162</v>
      </c>
    </row>
    <row r="55" spans="1:10">
      <c r="A55" t="s">
        <v>231</v>
      </c>
      <c r="B55" s="10">
        <v>47</v>
      </c>
      <c r="C55" s="10">
        <v>940657.3841877616</v>
      </c>
      <c r="D55" s="10">
        <v>188131.4768375523</v>
      </c>
      <c r="E55" s="10">
        <v>394666.6666666667</v>
      </c>
      <c r="F55" s="10">
        <v>80541.29000000001</v>
      </c>
      <c r="G55" s="10">
        <v>140000</v>
      </c>
      <c r="H55" s="10">
        <f>D55+E55+F55+G55-C55</f>
        <v>-137317.95068354264</v>
      </c>
      <c r="I55" s="10">
        <v>0</v>
      </c>
      <c r="J55" s="10">
        <f>J54+I55-H55</f>
        <v>351980.95402289426</v>
      </c>
    </row>
    <row r="56" spans="1:10">
      <c r="A56" t="s">
        <v>232</v>
      </c>
      <c r="B56" s="10">
        <v>48</v>
      </c>
      <c r="C56" s="10">
        <v>973580.3926343331</v>
      </c>
      <c r="D56" s="10">
        <v>194716.0785268666</v>
      </c>
      <c r="E56" s="10">
        <v>394666.6666666667</v>
      </c>
      <c r="F56" s="10">
        <v>80541.29000000001</v>
      </c>
      <c r="G56" s="10">
        <v>140000</v>
      </c>
      <c r="H56" s="10">
        <f>D56+E56+F56+G56-C56</f>
        <v>-163656.35744079982</v>
      </c>
      <c r="I56" s="10">
        <v>0</v>
      </c>
      <c r="J56" s="10">
        <f>J55+I56-H56</f>
        <v>515637.3114636941</v>
      </c>
    </row>
    <row r="58" spans="1:10">
      <c r="A58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22</vt:i4>
      </vt:variant>
    </vt:vector>
  </HeadingPairs>
  <TitlesOfParts>
    <vt:vector size="29" baseType="lpstr">
      <vt:lpstr>README</vt:lpstr>
      <vt:lpstr>Assumptions</vt:lpstr>
      <vt:lpstr>P&amp;L</vt:lpstr>
      <vt:lpstr>ARR_Build</vt:lpstr>
      <vt:lpstr>Cohorts</vt:lpstr>
      <vt:lpstr>Hiring_Plan</vt:lpstr>
      <vt:lpstr>Cash_Runway</vt:lpstr>
      <vt:lpstr>ARR_TOTAL</vt:lpstr>
      <vt:lpstr>AS_OF_DATE</vt:lpstr>
      <vt:lpstr>AVG_BASE_NOW</vt:lpstr>
      <vt:lpstr>AVG_NET_BURN_12M</vt:lpstr>
      <vt:lpstr>CASH_START</vt:lpstr>
      <vt:lpstr>COHORT_CUSTOMERS</vt:lpstr>
      <vt:lpstr>GM_PCT</vt:lpstr>
      <vt:lpstr>HIRES_COUNTED</vt:lpstr>
      <vt:lpstr>HOSTING_USD_MONTH</vt:lpstr>
      <vt:lpstr>LICENCES_PCT</vt:lpstr>
      <vt:lpstr>LOAD_FACTOR</vt:lpstr>
      <vt:lpstr>NRR_12M</vt:lpstr>
      <vt:lpstr>PAYROLL_NOW_USD_MONTH</vt:lpstr>
      <vt:lpstr>PROGRAMS_USD_MONTH</vt:lpstr>
      <vt:lpstr>RENT_ETC_USD_MONTH</vt:lpstr>
      <vt:lpstr>REV_GROWTH</vt:lpstr>
      <vt:lpstr>REV_START_USD_MONTH</vt:lpstr>
      <vt:lpstr>RUNWAY_MONTHS</vt:lpstr>
      <vt:lpstr>SERIES_A_PLAN_MONTH</vt:lpstr>
      <vt:lpstr>SERIES_A_RAISE</vt:lpstr>
      <vt:lpstr>STAFF_NOW</vt:lpstr>
      <vt:lpstr>TELEPHONY_PCT</vt:lpstr>
    </vt:vector>
  </TitlesOfParts>
  <Company>Hollis Voice (synthetic)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financial_model</dc:title>
  <dc:creator>Hollis Voice (synthetic)</dc:creator>
  <dc:description>Synthetic data room for Deal Flow NYC 2026. Not a real company.</dc:description>
  <cp:lastModifiedBy>Hollis Voice (synthetic)</cp:lastModifiedBy>
  <dcterms:created xsi:type="dcterms:W3CDTF">2026-10-01T09:00:00Z</dcterms:created>
  <dcterms:modified xsi:type="dcterms:W3CDTF">2026-10-01T09:00:00Z</dcterms:modified>
</cp:coreProperties>
</file>